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glas" sheetId="1" state="visible" r:id="rId3"/>
    <sheet name="Simulación" sheetId="2" state="visible" r:id="rId4"/>
    <sheet name="Plancha" sheetId="3" state="visible" r:id="rId5"/>
    <sheet name="Front" sheetId="4" state="visible" r:id="rId6"/>
    <sheet name="Vertical" sheetId="5" state="visible" r:id="rId7"/>
    <sheet name="Dominadas" sheetId="6" state="visible" r:id="rId8"/>
    <sheet name="Combos" sheetId="7" state="visible" r:id="rId9"/>
    <sheet name="Gráficos" sheetId="8" state="visible" r:id="rId10"/>
    <sheet name="Modelo" sheetId="9" state="visible" r:id="rId11"/>
    <sheet name="Escaleras" sheetId="10" state="visible" r:id="rId12"/>
    <sheet name="Dato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<sst xmlns="http://schemas.openxmlformats.org/spreadsheetml/2006/main" count="690" uniqueCount="200">
  <si>
    <t xml:space="preserve">CONQUER · Rutina Mati y Nach</t>
  </si>
  <si>
    <t xml:space="preserve">Una hoja por día. Cada sesión anotás un solo número por escalón (la PEOR de las 3 series) en la columna Real. La planilla predice la siguiente y mide si acertó.</t>
  </si>
  <si>
    <t xml:space="preserve">Parámetros del modelo (editables)</t>
  </si>
  <si>
    <t xml:space="preserve">Incremento por sesión, dinámico (reps)</t>
  </si>
  <si>
    <t xml:space="preserve">Incremento por sesión, isométrico (s)</t>
  </si>
  <si>
    <t xml:space="preserve">Si el Δ medio de la hoja Modelo da más que esto varias semanas, el cuerpo progresa más rápido que la predicción: subí el incremento.</t>
  </si>
  <si>
    <t xml:space="preserve">Qué completás vos</t>
  </si>
  <si>
    <t xml:space="preserve">Celdas amarillas: progresión y modo de cada escalón (desplegables), y el número Real de cada sesión.</t>
  </si>
  <si>
    <t xml:space="preserve">Prev (predicción)</t>
  </si>
  <si>
    <t xml:space="preserve">Lo que la planilla espera que hagas esa sesión: la sesión anterior + el incremento, sin pasar del techo. Si venís de dos techos seguidos, predice el piso de la progresión siguiente.</t>
  </si>
  <si>
    <t xml:space="preserve">Real</t>
  </si>
  <si>
    <t xml:space="preserve">Lo que hiciste. Peor de las 3 series. Reps en dinámicos, segundos en isométricos y hold.</t>
  </si>
  <si>
    <t xml:space="preserve">Piso / techo</t>
  </si>
  <si>
    <t xml:space="preserve">Dinámico 3 → 8 reps. Isométrico 4 → 12 s.</t>
  </si>
  <si>
    <t xml:space="preserve">Subir de progresión</t>
  </si>
  <si>
    <t xml:space="preserve">Real = techo dos sesiones seguidas → Estado en verde: SUBIR. Elegís la progresión siguiente en el desplegable (las escaleras están en la hoja Escaleras, de más dura a más fácil) y la fila vuelve al piso.</t>
  </si>
  <si>
    <t xml:space="preserve">Un escalón por vez</t>
  </si>
  <si>
    <t xml:space="preserve">Si dos escalones dicen SUBIR, subí el E1 primero.</t>
  </si>
  <si>
    <t xml:space="preserve">Hold final</t>
  </si>
  <si>
    <t xml:space="preserve">Siempre al fallo, sin objetivo. Anotás segundos.</t>
  </si>
  <si>
    <t xml:space="preserve">Acierto y Δ</t>
  </si>
  <si>
    <t xml:space="preserve">Acierto = sesiones donde Real ≥ Prev. Δ = Real − Prev promedio. Con eso, en la hoja Modelo, ves si la predicción va corta o larga y ajustás los parámetros.</t>
  </si>
  <si>
    <t xml:space="preserve">Combos</t>
  </si>
  <si>
    <t xml:space="preserve">Hoja Combos: por cada combo anotás dos cosas por semana. Progresión de arranque: la elegís del desplegable. Series completadas: cuántas series del combo metiste en total. El objetivo gris es el plan (apertura 3, y 4 desde la semana 3).</t>
  </si>
  <si>
    <t xml:space="preserve">Sábado</t>
  </si>
  <si>
    <t xml:space="preserve">Sábado: push y después pull. Series completadas = las 3 máx más los drops que metiste, objetivo 13.</t>
  </si>
  <si>
    <t xml:space="preserve">Amarillo: lo completás vos</t>
  </si>
  <si>
    <t xml:space="preserve">Gris: predicción, no se toca</t>
  </si>
  <si>
    <t xml:space="preserve">Techo cumplido una vez</t>
  </si>
  <si>
    <t xml:space="preserve">SUBIR de progresión</t>
  </si>
  <si>
    <t xml:space="preserve">CONQUER · Simulación</t>
  </si>
  <si>
    <t xml:space="preserve">Datos inventados para ver cómo se leen los gráficos. 12 sesiones de Planche press E1: sube de a 1, toca el techo dos veces, salta a la progresión siguiente y vuelve al piso.</t>
  </si>
  <si>
    <t xml:space="preserve">Sesión</t>
  </si>
  <si>
    <t xml:space="preserve">S1</t>
  </si>
  <si>
    <t xml:space="preserve">S2</t>
  </si>
  <si>
    <t xml:space="preserve">S3</t>
  </si>
  <si>
    <t xml:space="preserve">S4</t>
  </si>
  <si>
    <t xml:space="preserve">S5</t>
  </si>
  <si>
    <t xml:space="preserve">S6</t>
  </si>
  <si>
    <t xml:space="preserve">S7</t>
  </si>
  <si>
    <t xml:space="preserve">S8</t>
  </si>
  <si>
    <t xml:space="preserve">S9</t>
  </si>
  <si>
    <t xml:space="preserve">S10</t>
  </si>
  <si>
    <t xml:space="preserve">S11</t>
  </si>
  <si>
    <t xml:space="preserve">S12</t>
  </si>
  <si>
    <t xml:space="preserve">Planche press E1 · predicho</t>
  </si>
  <si>
    <t xml:space="preserve">Planche press E1 · real</t>
  </si>
  <si>
    <t xml:space="preserve">Hold final (s)</t>
  </si>
  <si>
    <t xml:space="preserve">Progresión</t>
  </si>
  <si>
    <t xml:space="preserve">tuck</t>
  </si>
  <si>
    <t xml:space="preserve">adv tuck</t>
  </si>
  <si>
    <t xml:space="preserve">Estado</t>
  </si>
  <si>
    <t xml:space="preserve">en rango</t>
  </si>
  <si>
    <t xml:space="preserve">techo 1 de 2</t>
  </si>
  <si>
    <t xml:space="preserve">⬆ SUBIR</t>
  </si>
  <si>
    <t xml:space="preserve">Así se van a ver los gráficos cuando haya datos reales (hoja Gráficos).</t>
  </si>
  <si>
    <t xml:space="preserve">PLANCHA</t>
  </si>
  <si>
    <t xml:space="preserve">Ejemplo cargado en Planche press E1 (fila 10): 6, 7, 8, 8. Borralo cuando arranques.  ·  Amarillo = lo completás vos (progresión, modo, Real). Gris = predicción.</t>
  </si>
  <si>
    <t xml:space="preserve">Ejercicio</t>
  </si>
  <si>
    <t xml:space="preserve">Escalón</t>
  </si>
  <si>
    <t xml:space="preserve">Modo</t>
  </si>
  <si>
    <t xml:space="preserve">Tipo</t>
  </si>
  <si>
    <t xml:space="preserve">Piso</t>
  </si>
  <si>
    <t xml:space="preserve">Techo</t>
  </si>
  <si>
    <t xml:space="preserve">S1 prev</t>
  </si>
  <si>
    <t xml:space="preserve">S1 real</t>
  </si>
  <si>
    <t xml:space="preserve">S2 prev</t>
  </si>
  <si>
    <t xml:space="preserve">S2 real</t>
  </si>
  <si>
    <t xml:space="preserve">S3 prev</t>
  </si>
  <si>
    <t xml:space="preserve">S3 real</t>
  </si>
  <si>
    <t xml:space="preserve">S4 prev</t>
  </si>
  <si>
    <t xml:space="preserve">S4 real</t>
  </si>
  <si>
    <t xml:space="preserve">S5 prev</t>
  </si>
  <si>
    <t xml:space="preserve">S5 real</t>
  </si>
  <si>
    <t xml:space="preserve">S6 prev</t>
  </si>
  <si>
    <t xml:space="preserve">S6 real</t>
  </si>
  <si>
    <t xml:space="preserve">Última</t>
  </si>
  <si>
    <t xml:space="preserve">Próximo (S7 prev)</t>
  </si>
  <si>
    <t xml:space="preserve">Aciertos</t>
  </si>
  <si>
    <t xml:space="preserve">Sesiones</t>
  </si>
  <si>
    <t xml:space="preserve">% acierto</t>
  </si>
  <si>
    <t xml:space="preserve">Δ medio</t>
  </si>
  <si>
    <t xml:space="preserve">Planche hold</t>
  </si>
  <si>
    <t xml:space="preserve">E1</t>
  </si>
  <si>
    <t xml:space="preserve">full</t>
  </si>
  <si>
    <t xml:space="preserve">hold</t>
  </si>
  <si>
    <t xml:space="preserve">s</t>
  </si>
  <si>
    <t xml:space="preserve">E2</t>
  </si>
  <si>
    <t xml:space="preserve">straddle</t>
  </si>
  <si>
    <t xml:space="preserve">E3</t>
  </si>
  <si>
    <t xml:space="preserve">hold final</t>
  </si>
  <si>
    <t xml:space="preserve">al fallo</t>
  </si>
  <si>
    <t xml:space="preserve">Planche press</t>
  </si>
  <si>
    <t xml:space="preserve">completa</t>
  </si>
  <si>
    <t xml:space="preserve">reps</t>
  </si>
  <si>
    <t xml:space="preserve">negativa</t>
  </si>
  <si>
    <t xml:space="preserve">lean</t>
  </si>
  <si>
    <t xml:space="preserve">L-sit a plancha</t>
  </si>
  <si>
    <t xml:space="preserve">a tuck</t>
  </si>
  <si>
    <t xml:space="preserve">a lean</t>
  </si>
  <si>
    <t xml:space="preserve">FRONT</t>
  </si>
  <si>
    <t xml:space="preserve">  ·  Amarillo = lo completás vos (progresión, modo, Real). Gris = predicción.</t>
  </si>
  <si>
    <t xml:space="preserve">Front lever hold</t>
  </si>
  <si>
    <t xml:space="preserve">Pull-ups en FL</t>
  </si>
  <si>
    <t xml:space="preserve">FL raises</t>
  </si>
  <si>
    <t xml:space="preserve">VERTICAL</t>
  </si>
  <si>
    <t xml:space="preserve">HSPU</t>
  </si>
  <si>
    <t xml:space="preserve">paralelas profundas</t>
  </si>
  <si>
    <t xml:space="preserve">wide en piso</t>
  </si>
  <si>
    <t xml:space="preserve">pike</t>
  </si>
  <si>
    <t xml:space="preserve">90° press</t>
  </si>
  <si>
    <t xml:space="preserve">pike elevado</t>
  </si>
  <si>
    <t xml:space="preserve">Planche push-up</t>
  </si>
  <si>
    <t xml:space="preserve">pseudo</t>
  </si>
  <si>
    <t xml:space="preserve">DOMINADAS</t>
  </si>
  <si>
    <t xml:space="preserve">One arm / archer</t>
  </si>
  <si>
    <t xml:space="preserve">OAP asistida</t>
  </si>
  <si>
    <t xml:space="preserve">one arm</t>
  </si>
  <si>
    <t xml:space="preserve">estricta lenta</t>
  </si>
  <si>
    <t xml:space="preserve">dominada</t>
  </si>
  <si>
    <t xml:space="preserve">Muscle-up</t>
  </si>
  <si>
    <t xml:space="preserve">estricto</t>
  </si>
  <si>
    <t xml:space="preserve">al pecho</t>
  </si>
  <si>
    <t xml:space="preserve">Fondo a pelícano</t>
  </si>
  <si>
    <t xml:space="preserve">pelícano</t>
  </si>
  <si>
    <t xml:space="preserve">supinado profundo</t>
  </si>
  <si>
    <t xml:space="preserve">anillas</t>
  </si>
  <si>
    <t xml:space="preserve">COMBOS</t>
  </si>
  <si>
    <t xml:space="preserve">Por combo, dos datos por semana: con qué progresión arrancaste y cuántas series completaste. Amarillo = lo completás vos.</t>
  </si>
  <si>
    <t xml:space="preserve">Press</t>
  </si>
  <si>
    <t xml:space="preserve">Push</t>
  </si>
  <si>
    <t xml:space="preserve">Hold</t>
  </si>
  <si>
    <t xml:space="preserve">S1 objetivo</t>
  </si>
  <si>
    <t xml:space="preserve">S2 objetivo</t>
  </si>
  <si>
    <t xml:space="preserve">S3 objetivo</t>
  </si>
  <si>
    <t xml:space="preserve">S4 objetivo</t>
  </si>
  <si>
    <t xml:space="preserve">S5 objetivo</t>
  </si>
  <si>
    <t xml:space="preserve">S6 objetivo</t>
  </si>
  <si>
    <t xml:space="preserve">PLANCHA · apertura</t>
  </si>
  <si>
    <t xml:space="preserve">Press de plancha</t>
  </si>
  <si>
    <t xml:space="preserve">Push-up en plancha</t>
  </si>
  <si>
    <t xml:space="preserve">Hold de plancha</t>
  </si>
  <si>
    <t xml:space="preserve">3 series, 4 desde S3 · al fallo</t>
  </si>
  <si>
    <t xml:space="preserve">Progresión de arranque</t>
  </si>
  <si>
    <t xml:space="preserve">Series completadas</t>
  </si>
  <si>
    <t xml:space="preserve">FRONT · apertura</t>
  </si>
  <si>
    <t xml:space="preserve">Press a front lever</t>
  </si>
  <si>
    <t xml:space="preserve">Pull-up en front lever</t>
  </si>
  <si>
    <t xml:space="preserve">Hold de front lever</t>
  </si>
  <si>
    <t xml:space="preserve">VERTICAL · apertura</t>
  </si>
  <si>
    <t xml:space="preserve">DOMINADAS · apertura</t>
  </si>
  <si>
    <t xml:space="preserve">SÁBADO · PUSH</t>
  </si>
  <si>
    <t xml:space="preserve">3 máx + 10 drops = 13 series</t>
  </si>
  <si>
    <t xml:space="preserve">SÁBADO · PULL</t>
  </si>
  <si>
    <t xml:space="preserve">CONQUER · Gráficos</t>
  </si>
  <si>
    <t xml:space="preserve">Se dibujan solos con lo que cargás. Vacíos hasta que haya datos.</t>
  </si>
  <si>
    <t xml:space="preserve">Si no ves los gráficos acá, abrí el archivo en Excel o Google Sheets: la vista previa no los dibuja. La hoja Simulación tiene imágenes de cómo se van a ver.</t>
  </si>
  <si>
    <t xml:space="preserve">Modelo predictivo · ¿la predicción acierta?</t>
  </si>
  <si>
    <t xml:space="preserve">Se llena solo con lo que cargás en las hojas de cada día. Si el % de acierto es alto y el Δ es positivo, el cuerpo va más rápido que el modelo: subí el incremento en Reglas. Si el Δ es negativo seguido, va más lento: bajalo o revisá la dosis.</t>
  </si>
  <si>
    <t xml:space="preserve">Día</t>
  </si>
  <si>
    <t xml:space="preserve">Δ medio (real − prev)</t>
  </si>
  <si>
    <t xml:space="preserve">Plancha</t>
  </si>
  <si>
    <t xml:space="preserve">Front</t>
  </si>
  <si>
    <t xml:space="preserve">Vertical</t>
  </si>
  <si>
    <t xml:space="preserve">Dominadas</t>
  </si>
  <si>
    <t xml:space="preserve">Total</t>
  </si>
  <si>
    <t xml:space="preserve">CONQUER · Escaleras</t>
  </si>
  <si>
    <t xml:space="preserve">Escaleras de progresión · de más dura (arriba) a más fácil (abajo). Editá o agregá; los desplegables leen de acá.</t>
  </si>
  <si>
    <t xml:space="preserve">Palanca</t>
  </si>
  <si>
    <t xml:space="preserve">Tracción vertical</t>
  </si>
  <si>
    <t xml:space="preserve">Fondo</t>
  </si>
  <si>
    <t xml:space="preserve">Progresión (todas)</t>
  </si>
  <si>
    <t xml:space="preserve">libre déficit</t>
  </si>
  <si>
    <t xml:space="preserve">a straddle</t>
  </si>
  <si>
    <t xml:space="preserve">half lay</t>
  </si>
  <si>
    <t xml:space="preserve">libre</t>
  </si>
  <si>
    <t xml:space="preserve">con impulso</t>
  </si>
  <si>
    <t xml:space="preserve">a adv tuck</t>
  </si>
  <si>
    <t xml:space="preserve">Hold de vertical</t>
  </si>
  <si>
    <t xml:space="preserve">super adv tuck</t>
  </si>
  <si>
    <t xml:space="preserve">archer</t>
  </si>
  <si>
    <t xml:space="preserve">anillas profundo</t>
  </si>
  <si>
    <t xml:space="preserve">pared</t>
  </si>
  <si>
    <t xml:space="preserve">Back lever</t>
  </si>
  <si>
    <t xml:space="preserve">paralelas profundo</t>
  </si>
  <si>
    <t xml:space="preserve">Archer</t>
  </si>
  <si>
    <t xml:space="preserve">flexión</t>
  </si>
  <si>
    <t xml:space="preserve">CONQUER · Datos</t>
  </si>
  <si>
    <t xml:space="preserve">Escalón 1 de cada ejercicio, Real por sesión. Se llena solo desde las hojas de cada día; de acá salen los gráficos.</t>
  </si>
  <si>
    <t xml:space="preserve">Las celdas #N/A son sesiones sin cargar todavía: es a propósito, así los gráficos dejan el hueco en vez de dibujar un cero.</t>
  </si>
  <si>
    <t xml:space="preserve">Ejercicio (E1)</t>
  </si>
  <si>
    <t xml:space="preserve">Prev vs Real · ejercicio 1 de cada día</t>
  </si>
  <si>
    <t xml:space="preserve">Plancha · prev</t>
  </si>
  <si>
    <t xml:space="preserve">Plancha · real</t>
  </si>
  <si>
    <t xml:space="preserve">Front · prev</t>
  </si>
  <si>
    <t xml:space="preserve">Front · real</t>
  </si>
  <si>
    <t xml:space="preserve">Vertical · prev</t>
  </si>
  <si>
    <t xml:space="preserve">Vertical · real</t>
  </si>
  <si>
    <t xml:space="preserve">Dominadas · prev</t>
  </si>
  <si>
    <t xml:space="preserve">Dominadas · real</t>
  </si>
</sst>
</file>

<file path=xl/styles.xml><?xml version="1.0" encoding="utf-8"?>
<styleSheet xmlns="http://schemas.openxmlformats.org/spreadsheetml/2006/main">
  <numFmts count="5">
    <numFmt numFmtId="164" formatCode="General"/>
    <numFmt numFmtId="165" formatCode="General"/>
    <numFmt numFmtId="166" formatCode="0%"/>
    <numFmt numFmtId="167" formatCode="\+0.0;\-0.0;0.0"/>
    <numFmt numFmtId="168" formatCode="\+0.00;\-0.00;0.00"/>
  </numFmts>
  <fonts count="34">
    <font>
      <sz val="11"/>
      <color theme="1"/>
      <name val="Calibri"/>
      <family val="2"/>
      <charset val="1"/>
    </font>
    <font>
      <sz val="10"/>
      <name val="Arial"/>
      <family val="0"/>
    </font>
    <font>
      <sz val="10"/>
      <name val="Arial"/>
      <family val="0"/>
    </font>
    <font>
      <sz val="10"/>
      <name val="Arial"/>
      <family val="0"/>
    </font>
    <font>
      <b val="true"/>
      <sz val="20"/>
      <color rgb="FFF6E2A4"/>
      <name val="Arial"/>
      <family val="0"/>
      <charset val="1"/>
    </font>
    <font>
      <i val="true"/>
      <sz val="10"/>
      <color rgb="FFCFAE6B"/>
      <name val="Arial"/>
      <family val="0"/>
      <charset val="1"/>
    </font>
    <font>
      <b val="true"/>
      <sz val="11"/>
      <color rgb="FF131D44"/>
      <name val="Arial"/>
      <family val="0"/>
      <charset val="1"/>
    </font>
    <font>
      <sz val="10"/>
      <name val="Arial"/>
      <family val="0"/>
      <charset val="1"/>
    </font>
    <font>
      <sz val="11"/>
      <color rgb="FF0000FF"/>
      <name val="Arial"/>
      <family val="0"/>
      <charset val="1"/>
    </font>
    <font>
      <i val="true"/>
      <sz val="9"/>
      <color rgb="FF555555"/>
      <name val="Arial"/>
      <family val="0"/>
      <charset val="1"/>
    </font>
    <font>
      <b val="true"/>
      <sz val="18"/>
      <color rgb="FFF6E2A4"/>
      <name val="Arial"/>
      <family val="0"/>
      <charset val="1"/>
    </font>
    <font>
      <i val="true"/>
      <sz val="9"/>
      <color rgb="FFCFAE6B"/>
      <name val="Arial"/>
      <family val="0"/>
      <charset val="1"/>
    </font>
    <font>
      <b val="true"/>
      <sz val="9"/>
      <color rgb="FFF6E2A4"/>
      <name val="Arial"/>
      <family val="0"/>
      <charset val="1"/>
    </font>
    <font>
      <b val="true"/>
      <sz val="10"/>
      <color rgb="FF131D44"/>
      <name val="Arial"/>
      <family val="0"/>
      <charset val="1"/>
    </font>
    <font>
      <sz val="9"/>
      <color rgb="FF555555"/>
      <name val="Arial"/>
      <family val="0"/>
      <charset val="1"/>
    </font>
    <font>
      <sz val="8"/>
      <name val="Arial"/>
      <family val="0"/>
      <charset val="1"/>
    </font>
    <font>
      <b val="true"/>
      <sz val="12"/>
      <color rgb="FFFDF3D3"/>
      <name val="Arial"/>
      <family val="0"/>
      <charset val="1"/>
    </font>
    <font>
      <b val="true"/>
      <sz val="9"/>
      <color rgb="FF131D44"/>
      <name val="Arial"/>
      <family val="0"/>
      <charset val="1"/>
    </font>
    <font>
      <sz val="10"/>
      <color rgb="FF0000FF"/>
      <name val="Arial"/>
      <family val="0"/>
      <charset val="1"/>
    </font>
    <font>
      <sz val="10"/>
      <color rgb="FF555555"/>
      <name val="Arial"/>
      <family val="0"/>
      <charset val="1"/>
    </font>
    <font>
      <b val="true"/>
      <sz val="10"/>
      <color rgb="FF0000FF"/>
      <name val="Arial"/>
      <family val="0"/>
      <charset val="1"/>
    </font>
    <font>
      <b val="true"/>
      <sz val="10"/>
      <name val="Arial"/>
      <family val="0"/>
      <charset val="1"/>
    </font>
    <font>
      <b val="true"/>
      <sz val="9"/>
      <color rgb="FFCFAE6B"/>
      <name val="Arial"/>
      <family val="0"/>
      <charset val="1"/>
    </font>
    <font>
      <b val="true"/>
      <sz val="11"/>
      <color rgb="FFF6E2A4"/>
      <name val="Arial"/>
      <family val="0"/>
      <charset val="1"/>
    </font>
    <font>
      <sz val="9"/>
      <color rgb="FF0000FF"/>
      <name val="Arial"/>
      <family val="0"/>
      <charset val="1"/>
    </font>
    <font>
      <b val="true"/>
      <sz val="9"/>
      <color rgb="FF0000FF"/>
      <name val="Arial"/>
      <family val="0"/>
      <charset val="1"/>
    </font>
    <font>
      <b val="true"/>
      <sz val="9"/>
      <name val="Arial"/>
      <family val="0"/>
      <charset val="1"/>
    </font>
    <font>
      <b val="true"/>
      <sz val="11"/>
      <color rgb="FF0000FF"/>
      <name val="Arial"/>
      <family val="0"/>
      <charset val="1"/>
    </font>
    <font>
      <b val="true"/>
      <sz val="11"/>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6"/>
      <color rgb="FFF6E2A4"/>
      <name val="Arial"/>
      <family val="0"/>
      <charset val="1"/>
    </font>
    <font>
      <sz val="10"/>
      <color rgb="FF999999"/>
      <name val="Arial"/>
      <family val="0"/>
      <charset val="1"/>
    </font>
  </fonts>
  <fills count="12">
    <fill>
      <patternFill patternType="none"/>
    </fill>
    <fill>
      <patternFill patternType="gray125"/>
    </fill>
    <fill>
      <patternFill patternType="solid">
        <fgColor rgb="FF131D44"/>
        <bgColor rgb="FF1F2D66"/>
      </patternFill>
    </fill>
    <fill>
      <patternFill patternType="solid">
        <fgColor rgb="FFFFFFF0"/>
        <bgColor rgb="FFFFFBE6"/>
      </patternFill>
    </fill>
    <fill>
      <patternFill patternType="solid">
        <fgColor rgb="FFEEEEEE"/>
        <bgColor rgb="FFEEF0F6"/>
      </patternFill>
    </fill>
    <fill>
      <patternFill patternType="solid">
        <fgColor rgb="FFFDF1D0"/>
        <bgColor rgb="FFFDF3D3"/>
      </patternFill>
    </fill>
    <fill>
      <patternFill patternType="solid">
        <fgColor rgb="FFD9EAD3"/>
        <bgColor rgb="FFD9D9D9"/>
      </patternFill>
    </fill>
    <fill>
      <patternFill patternType="solid">
        <fgColor rgb="FF1F2D66"/>
        <bgColor rgb="FF131D44"/>
      </patternFill>
    </fill>
    <fill>
      <patternFill patternType="solid">
        <fgColor rgb="FFFFFFFF"/>
        <bgColor rgb="FFFFFFF0"/>
      </patternFill>
    </fill>
    <fill>
      <patternFill patternType="solid">
        <fgColor rgb="FFF7F4EA"/>
        <bgColor rgb="FFEEEEEE"/>
      </patternFill>
    </fill>
    <fill>
      <patternFill patternType="solid">
        <fgColor rgb="FFFFFBE6"/>
        <bgColor rgb="FFFFFFF0"/>
      </patternFill>
    </fill>
    <fill>
      <patternFill patternType="solid">
        <fgColor rgb="FFEEF0F6"/>
        <bgColor rgb="FFEEEEEE"/>
      </patternFill>
    </fill>
  </fills>
  <borders count="4">
    <border diagonalUp="false" diagonalDown="false">
      <left/>
      <right/>
      <top/>
      <bottom/>
      <diagonal/>
    </border>
    <border diagonalUp="false" diagonalDown="false">
      <left style="thin">
        <color rgb="FFD9D4C2"/>
      </left>
      <right style="thin">
        <color rgb="FFD9D4C2"/>
      </right>
      <top style="thin">
        <color rgb="FFD9D4C2"/>
      </top>
      <bottom style="thin">
        <color rgb="FFD9D4C2"/>
      </bottom>
      <diagonal/>
    </border>
    <border diagonalUp="false" diagonalDown="false">
      <left/>
      <right/>
      <top/>
      <bottom style="medium">
        <color rgb="FFCFAE6B"/>
      </bottom>
      <diagonal/>
    </border>
    <border diagonalUp="false" diagonalDown="false">
      <left style="thin">
        <color rgb="FFD9D4C2"/>
      </left>
      <right style="thin">
        <color rgb="FFD9D4C2"/>
      </right>
      <top style="thin">
        <color rgb="FFCFAE6B"/>
      </top>
      <bottom style="thin">
        <color rgb="FFD9D4C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4" fontId="7" fillId="6" borderId="0" xfId="0" applyFont="tru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center" vertical="bottom" textRotation="0" wrapText="false" indent="0" shrinkToFit="false"/>
      <protection locked="true" hidden="false"/>
    </xf>
    <xf numFmtId="164" fontId="12" fillId="7" borderId="0" xfId="0" applyFont="true" applyBorder="false" applyAlignment="true" applyProtection="false">
      <alignment horizontal="center" vertical="bottom" textRotation="0" wrapText="false" indent="0" shrinkToFit="false"/>
      <protection locked="true" hidden="false"/>
    </xf>
    <xf numFmtId="164" fontId="13" fillId="8" borderId="0" xfId="0" applyFont="true" applyBorder="false" applyAlignment="tru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center" vertical="bottom" textRotation="0" wrapText="false" indent="0" shrinkToFit="false"/>
      <protection locked="true" hidden="false"/>
    </xf>
    <xf numFmtId="164" fontId="13" fillId="9" borderId="0" xfId="0" applyFont="tru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center" vertical="bottom" textRotation="0" wrapText="false" indent="0" shrinkToFit="false"/>
      <protection locked="true" hidden="false"/>
    </xf>
    <xf numFmtId="164" fontId="14" fillId="9" borderId="0" xfId="0" applyFont="true" applyBorder="false" applyAlignment="true" applyProtection="false">
      <alignment horizontal="center" vertical="bottom" textRotation="0" wrapText="false" indent="0" shrinkToFit="false"/>
      <protection locked="true" hidden="false"/>
    </xf>
    <xf numFmtId="164" fontId="15" fillId="8" borderId="0" xfId="0" applyFont="true" applyBorder="false" applyAlignment="true" applyProtection="false">
      <alignment horizontal="center" vertical="bottom" textRotation="0" wrapText="false" indent="0" shrinkToFit="false"/>
      <protection locked="true" hidden="false"/>
    </xf>
    <xf numFmtId="164" fontId="15" fillId="5" borderId="0" xfId="0" applyFont="true" applyBorder="false" applyAlignment="true" applyProtection="false">
      <alignment horizontal="center" vertical="bottom" textRotation="0" wrapText="false" indent="0" shrinkToFit="false"/>
      <protection locked="true" hidden="false"/>
    </xf>
    <xf numFmtId="164" fontId="15" fillId="6" borderId="0" xfId="0" applyFont="true" applyBorder="false" applyAlignment="true" applyProtection="false">
      <alignment horizontal="center" vertical="bottom" textRotation="0" wrapText="false" indent="0" shrinkToFit="false"/>
      <protection locked="true" hidden="false"/>
    </xf>
    <xf numFmtId="164" fontId="13"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16" fillId="2" borderId="0" xfId="0" applyFont="true" applyBorder="false" applyAlignment="true" applyProtection="false">
      <alignment horizontal="general" vertical="bottom" textRotation="0" wrapText="false" indent="0" shrinkToFit="false"/>
      <protection locked="true" hidden="false"/>
    </xf>
    <xf numFmtId="164" fontId="12" fillId="7" borderId="2" xfId="0" applyFont="true" applyBorder="true" applyAlignment="true" applyProtection="false">
      <alignment horizontal="center" vertical="center" textRotation="0" wrapText="true" indent="0" shrinkToFit="false"/>
      <protection locked="true" hidden="false"/>
    </xf>
    <xf numFmtId="164" fontId="6" fillId="9" borderId="3" xfId="0" applyFont="true" applyBorder="true" applyAlignment="true" applyProtection="false">
      <alignment horizontal="general" vertical="bottom" textRotation="0" wrapText="false" indent="0" shrinkToFit="false"/>
      <protection locked="true" hidden="false"/>
    </xf>
    <xf numFmtId="164" fontId="17" fillId="9" borderId="3" xfId="0" applyFont="true" applyBorder="true" applyAlignment="true" applyProtection="false">
      <alignment horizontal="center" vertical="bottom" textRotation="0" wrapText="false" indent="0" shrinkToFit="false"/>
      <protection locked="true" hidden="false"/>
    </xf>
    <xf numFmtId="164" fontId="18" fillId="10" borderId="3" xfId="0" applyFont="true" applyBorder="true" applyAlignment="true" applyProtection="false">
      <alignment horizontal="general" vertical="bottom" textRotation="0" wrapText="false" indent="0" shrinkToFit="false"/>
      <protection locked="true" hidden="false"/>
    </xf>
    <xf numFmtId="165" fontId="7" fillId="9" borderId="3" xfId="0" applyFont="true" applyBorder="true" applyAlignment="true" applyProtection="false">
      <alignment horizontal="general" vertical="bottom" textRotation="0" wrapText="false" indent="0" shrinkToFit="false"/>
      <protection locked="true" hidden="false"/>
    </xf>
    <xf numFmtId="165" fontId="19" fillId="11" borderId="3" xfId="0" applyFont="true" applyBorder="true" applyAlignment="true" applyProtection="false">
      <alignment horizontal="center" vertical="bottom" textRotation="0" wrapText="false" indent="0" shrinkToFit="false"/>
      <protection locked="true" hidden="false"/>
    </xf>
    <xf numFmtId="164" fontId="20" fillId="10" borderId="3" xfId="0" applyFont="true" applyBorder="true" applyAlignment="true" applyProtection="false">
      <alignment horizontal="center" vertical="bottom" textRotation="0" wrapText="false" indent="0" shrinkToFit="false"/>
      <protection locked="true" hidden="false"/>
    </xf>
    <xf numFmtId="164" fontId="21" fillId="9" borderId="3" xfId="0" applyFont="true" applyBorder="true" applyAlignment="true" applyProtection="false">
      <alignment horizontal="general" vertical="bottom" textRotation="0" wrapText="false" indent="0" shrinkToFit="false"/>
      <protection locked="true" hidden="false"/>
    </xf>
    <xf numFmtId="164" fontId="13" fillId="9" borderId="3" xfId="0" applyFont="true" applyBorder="true" applyAlignment="true" applyProtection="false">
      <alignment horizontal="general" vertical="bottom" textRotation="0" wrapText="false" indent="0" shrinkToFit="false"/>
      <protection locked="true" hidden="false"/>
    </xf>
    <xf numFmtId="164" fontId="7" fillId="9" borderId="3" xfId="0" applyFont="true" applyBorder="true" applyAlignment="true" applyProtection="false">
      <alignment horizontal="general" vertical="bottom" textRotation="0" wrapText="false" indent="0" shrinkToFit="false"/>
      <protection locked="true" hidden="false"/>
    </xf>
    <xf numFmtId="165" fontId="7" fillId="9" borderId="3" xfId="0" applyFont="true" applyBorder="true" applyAlignment="true" applyProtection="false">
      <alignment horizontal="center" vertical="bottom" textRotation="0" wrapText="false" indent="0" shrinkToFit="false"/>
      <protection locked="true" hidden="false"/>
    </xf>
    <xf numFmtId="166" fontId="7" fillId="9" borderId="3" xfId="0" applyFont="true" applyBorder="true" applyAlignment="true" applyProtection="false">
      <alignment horizontal="center" vertical="bottom" textRotation="0" wrapText="false" indent="0" shrinkToFit="false"/>
      <protection locked="true" hidden="false"/>
    </xf>
    <xf numFmtId="167" fontId="7" fillId="9" borderId="3" xfId="0" applyFont="true" applyBorder="true" applyAlignment="true" applyProtection="false">
      <alignment horizontal="center" vertical="bottom" textRotation="0" wrapText="false" indent="0" shrinkToFit="false"/>
      <protection locked="true" hidden="false"/>
    </xf>
    <xf numFmtId="164" fontId="6" fillId="9" borderId="1" xfId="0" applyFont="true" applyBorder="true" applyAlignment="true" applyProtection="false">
      <alignment horizontal="general" vertical="bottom" textRotation="0" wrapText="false" indent="0" shrinkToFit="false"/>
      <protection locked="true" hidden="false"/>
    </xf>
    <xf numFmtId="164" fontId="17" fillId="9" borderId="1" xfId="0" applyFont="true" applyBorder="true" applyAlignment="true" applyProtection="false">
      <alignment horizontal="center" vertical="bottom" textRotation="0" wrapText="false" indent="0" shrinkToFit="false"/>
      <protection locked="true" hidden="false"/>
    </xf>
    <xf numFmtId="164" fontId="18" fillId="10" borderId="1" xfId="0" applyFont="true" applyBorder="true" applyAlignment="true" applyProtection="false">
      <alignment horizontal="general" vertical="bottom" textRotation="0" wrapText="false" indent="0" shrinkToFit="false"/>
      <protection locked="true" hidden="false"/>
    </xf>
    <xf numFmtId="165" fontId="7" fillId="9" borderId="1" xfId="0" applyFont="true" applyBorder="true" applyAlignment="true" applyProtection="false">
      <alignment horizontal="general" vertical="bottom" textRotation="0" wrapText="false" indent="0" shrinkToFit="false"/>
      <protection locked="true" hidden="false"/>
    </xf>
    <xf numFmtId="165" fontId="19" fillId="11" borderId="1" xfId="0" applyFont="true" applyBorder="true" applyAlignment="true" applyProtection="false">
      <alignment horizontal="center" vertical="bottom" textRotation="0" wrapText="false" indent="0" shrinkToFit="false"/>
      <protection locked="true" hidden="false"/>
    </xf>
    <xf numFmtId="164" fontId="20" fillId="10" borderId="1" xfId="0" applyFont="true" applyBorder="true" applyAlignment="true" applyProtection="false">
      <alignment horizontal="center" vertical="bottom" textRotation="0" wrapText="false" indent="0" shrinkToFit="false"/>
      <protection locked="true" hidden="false"/>
    </xf>
    <xf numFmtId="164" fontId="21" fillId="9" borderId="1" xfId="0" applyFont="true" applyBorder="true" applyAlignment="true" applyProtection="false">
      <alignment horizontal="general" vertical="bottom" textRotation="0" wrapText="false" indent="0" shrinkToFit="false"/>
      <protection locked="true" hidden="false"/>
    </xf>
    <xf numFmtId="164" fontId="13" fillId="9" borderId="1" xfId="0" applyFont="true" applyBorder="tru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6" fontId="7" fillId="9" borderId="1" xfId="0" applyFont="true" applyBorder="true" applyAlignment="true" applyProtection="false">
      <alignment horizontal="center" vertical="bottom" textRotation="0" wrapText="false" indent="0" shrinkToFit="false"/>
      <protection locked="true" hidden="false"/>
    </xf>
    <xf numFmtId="167" fontId="7" fillId="9" borderId="1" xfId="0" applyFont="true" applyBorder="true" applyAlignment="true" applyProtection="false">
      <alignment horizontal="center" vertical="bottom" textRotation="0" wrapText="false" indent="0" shrinkToFit="false"/>
      <protection locked="true" hidden="false"/>
    </xf>
    <xf numFmtId="164" fontId="22" fillId="9" borderId="1" xfId="0" applyFont="true" applyBorder="true" applyAlignment="true" applyProtection="false">
      <alignment horizontal="center" vertical="bottom" textRotation="0" wrapText="false" indent="0" shrinkToFit="false"/>
      <protection locked="true" hidden="false"/>
    </xf>
    <xf numFmtId="164" fontId="0" fillId="9" borderId="1" xfId="0" applyFont="false" applyBorder="true" applyAlignment="true" applyProtection="false">
      <alignment horizontal="general" vertical="bottom" textRotation="0" wrapText="false" indent="0" shrinkToFit="false"/>
      <protection locked="true" hidden="false"/>
    </xf>
    <xf numFmtId="164" fontId="6" fillId="8" borderId="3" xfId="0" applyFont="true" applyBorder="true" applyAlignment="true" applyProtection="false">
      <alignment horizontal="general" vertical="bottom" textRotation="0" wrapText="false" indent="0" shrinkToFit="false"/>
      <protection locked="true" hidden="false"/>
    </xf>
    <xf numFmtId="164" fontId="17" fillId="8" borderId="3" xfId="0" applyFont="true" applyBorder="true" applyAlignment="true" applyProtection="false">
      <alignment horizontal="center" vertical="bottom" textRotation="0" wrapText="false" indent="0" shrinkToFit="false"/>
      <protection locked="true" hidden="false"/>
    </xf>
    <xf numFmtId="165" fontId="7" fillId="8" borderId="3" xfId="0" applyFont="true" applyBorder="true" applyAlignment="true" applyProtection="false">
      <alignment horizontal="general" vertical="bottom" textRotation="0" wrapText="false" indent="0" shrinkToFit="false"/>
      <protection locked="true" hidden="false"/>
    </xf>
    <xf numFmtId="165" fontId="21" fillId="8" borderId="3" xfId="0" applyFont="true" applyBorder="true" applyAlignment="true" applyProtection="false">
      <alignment horizontal="general" vertical="bottom" textRotation="0" wrapText="false" indent="0" shrinkToFit="false"/>
      <protection locked="true" hidden="false"/>
    </xf>
    <xf numFmtId="164" fontId="13" fillId="8" borderId="3" xfId="0" applyFont="true" applyBorder="true" applyAlignment="true" applyProtection="false">
      <alignment horizontal="general" vertical="bottom" textRotation="0" wrapText="false" indent="0" shrinkToFit="false"/>
      <protection locked="true" hidden="false"/>
    </xf>
    <xf numFmtId="164" fontId="7" fillId="8" borderId="3" xfId="0" applyFont="true" applyBorder="true" applyAlignment="true" applyProtection="false">
      <alignment horizontal="general" vertical="bottom" textRotation="0" wrapText="false" indent="0" shrinkToFit="false"/>
      <protection locked="true" hidden="false"/>
    </xf>
    <xf numFmtId="165" fontId="7" fillId="8" borderId="3" xfId="0" applyFont="true" applyBorder="true" applyAlignment="true" applyProtection="false">
      <alignment horizontal="center" vertical="bottom" textRotation="0" wrapText="false" indent="0" shrinkToFit="false"/>
      <protection locked="true" hidden="false"/>
    </xf>
    <xf numFmtId="166" fontId="7" fillId="8" borderId="3" xfId="0" applyFont="true" applyBorder="true" applyAlignment="true" applyProtection="false">
      <alignment horizontal="center" vertical="bottom" textRotation="0" wrapText="false" indent="0" shrinkToFit="false"/>
      <protection locked="true" hidden="false"/>
    </xf>
    <xf numFmtId="167" fontId="7" fillId="8" borderId="3" xfId="0" applyFont="true" applyBorder="true" applyAlignment="true" applyProtection="false">
      <alignment horizontal="center" vertical="bottom" textRotation="0" wrapText="false" indent="0" shrinkToFit="false"/>
      <protection locked="true" hidden="false"/>
    </xf>
    <xf numFmtId="164" fontId="6" fillId="8" borderId="1" xfId="0" applyFont="true" applyBorder="true" applyAlignment="true" applyProtection="false">
      <alignment horizontal="general" vertical="bottom" textRotation="0" wrapText="false" indent="0" shrinkToFit="false"/>
      <protection locked="true" hidden="false"/>
    </xf>
    <xf numFmtId="164" fontId="17" fillId="8" borderId="1" xfId="0" applyFont="true" applyBorder="true" applyAlignment="true" applyProtection="false">
      <alignment horizontal="center" vertical="bottom" textRotation="0" wrapText="false" indent="0" shrinkToFit="false"/>
      <protection locked="true" hidden="false"/>
    </xf>
    <xf numFmtId="165" fontId="7" fillId="8" borderId="1" xfId="0" applyFont="true" applyBorder="true" applyAlignment="true" applyProtection="false">
      <alignment horizontal="general" vertical="bottom" textRotation="0" wrapText="false" indent="0" shrinkToFit="false"/>
      <protection locked="true" hidden="false"/>
    </xf>
    <xf numFmtId="164" fontId="21" fillId="8" borderId="1" xfId="0" applyFont="true" applyBorder="true" applyAlignment="true" applyProtection="false">
      <alignment horizontal="general" vertical="bottom" textRotation="0" wrapText="false" indent="0" shrinkToFit="false"/>
      <protection locked="true" hidden="false"/>
    </xf>
    <xf numFmtId="164" fontId="13" fillId="8" borderId="1" xfId="0" applyFont="true" applyBorder="true" applyAlignment="true" applyProtection="false">
      <alignment horizontal="general" vertical="bottom" textRotation="0" wrapText="false" indent="0" shrinkToFit="false"/>
      <protection locked="true" hidden="false"/>
    </xf>
    <xf numFmtId="164" fontId="7" fillId="8" borderId="1" xfId="0" applyFont="true" applyBorder="true" applyAlignment="true" applyProtection="false">
      <alignment horizontal="general" vertical="bottom" textRotation="0" wrapText="false" indent="0" shrinkToFit="false"/>
      <protection locked="true" hidden="false"/>
    </xf>
    <xf numFmtId="166" fontId="7" fillId="8" borderId="1" xfId="0" applyFont="true" applyBorder="true" applyAlignment="true" applyProtection="false">
      <alignment horizontal="center" vertical="bottom" textRotation="0" wrapText="false" indent="0" shrinkToFit="false"/>
      <protection locked="true" hidden="false"/>
    </xf>
    <xf numFmtId="167" fontId="7" fillId="8" borderId="1" xfId="0" applyFont="true" applyBorder="true" applyAlignment="true" applyProtection="false">
      <alignment horizontal="center" vertical="bottom" textRotation="0" wrapText="false" indent="0" shrinkToFit="false"/>
      <protection locked="true" hidden="false"/>
    </xf>
    <xf numFmtId="164" fontId="22" fillId="8" borderId="1" xfId="0" applyFont="true" applyBorder="true" applyAlignment="true" applyProtection="false">
      <alignment horizontal="center" vertical="bottom"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23" fillId="2" borderId="0" xfId="0" applyFont="true" applyBorder="false" applyAlignment="false" applyProtection="false">
      <alignment horizontal="general" vertical="bottom" textRotation="0" wrapText="false" indent="0" shrinkToFit="false"/>
      <protection locked="true" hidden="false"/>
    </xf>
    <xf numFmtId="164" fontId="24" fillId="10" borderId="1" xfId="0" applyFont="true" applyBorder="true" applyAlignment="false" applyProtection="false">
      <alignment horizontal="general" vertical="bottom" textRotation="0" wrapText="false" indent="0" shrinkToFit="false"/>
      <protection locked="true" hidden="false"/>
    </xf>
    <xf numFmtId="164" fontId="13" fillId="8" borderId="1" xfId="0" applyFont="tru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14" fillId="11" borderId="1" xfId="0" applyFont="true" applyBorder="true" applyAlignment="true" applyProtection="false">
      <alignment horizontal="center" vertical="bottom" textRotation="0" wrapText="false" indent="0" shrinkToFit="false"/>
      <protection locked="true" hidden="false"/>
    </xf>
    <xf numFmtId="164" fontId="25" fillId="10" borderId="1" xfId="0" applyFont="true" applyBorder="true" applyAlignment="true" applyProtection="false">
      <alignment horizontal="center" vertical="bottom" textRotation="0" wrapText="false" indent="0" shrinkToFit="false"/>
      <protection locked="true" hidden="false"/>
    </xf>
    <xf numFmtId="164" fontId="26" fillId="8" borderId="1" xfId="0" applyFont="true" applyBorder="true" applyAlignment="false" applyProtection="false">
      <alignment horizontal="general" vertical="bottom" textRotation="0" wrapText="false" indent="0" shrinkToFit="false"/>
      <protection locked="true" hidden="false"/>
    </xf>
    <xf numFmtId="164" fontId="27" fillId="10" borderId="1" xfId="0" applyFont="true" applyBorder="true" applyAlignment="true" applyProtection="false">
      <alignment horizontal="center" vertical="bottom" textRotation="0" wrapText="false" indent="0" shrinkToFit="false"/>
      <protection locked="true" hidden="false"/>
    </xf>
    <xf numFmtId="164" fontId="28" fillId="8" borderId="1" xfId="0" applyFont="true" applyBorder="true" applyAlignment="false" applyProtection="false">
      <alignment horizontal="general"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4" fontId="13" fillId="9" borderId="1" xfId="0" applyFont="true" applyBorder="true" applyAlignment="false" applyProtection="false">
      <alignment horizontal="general" vertical="bottom" textRotation="0" wrapText="fals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26" fillId="9" borderId="1" xfId="0" applyFont="true" applyBorder="true" applyAlignment="false" applyProtection="false">
      <alignment horizontal="general" vertical="bottom" textRotation="0" wrapText="false" indent="0" shrinkToFit="false"/>
      <protection locked="true" hidden="false"/>
    </xf>
    <xf numFmtId="164" fontId="28" fillId="9" borderId="1" xfId="0" applyFont="true" applyBorder="true" applyAlignment="false" applyProtection="false">
      <alignment horizontal="general" vertical="bottom" textRotation="0" wrapText="false" indent="0" shrinkToFit="false"/>
      <protection locked="true" hidden="false"/>
    </xf>
    <xf numFmtId="164" fontId="7" fillId="9" borderId="1" xfId="0" applyFont="true" applyBorder="true" applyAlignment="false" applyProtection="false">
      <alignment horizontal="general" vertical="bottom" textRotation="0" wrapText="false" indent="0" shrinkToFit="false"/>
      <protection locked="true" hidden="false"/>
    </xf>
    <xf numFmtId="164" fontId="32"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12" fillId="7"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28" fillId="0" borderId="1" xfId="0" applyFont="true" applyBorder="true" applyAlignment="true" applyProtection="false">
      <alignment horizontal="center" vertical="bottom" textRotation="0" wrapText="false" indent="0" shrinkToFit="false"/>
      <protection locked="true" hidden="false"/>
    </xf>
    <xf numFmtId="166" fontId="28" fillId="0" borderId="1" xfId="0" applyFont="true" applyBorder="true" applyAlignment="true" applyProtection="false">
      <alignment horizontal="center" vertical="bottom" textRotation="0" wrapText="false" indent="0" shrinkToFit="false"/>
      <protection locked="true" hidden="false"/>
    </xf>
    <xf numFmtId="168" fontId="28" fillId="0" borderId="1" xfId="0" applyFont="true" applyBorder="true" applyAlignment="true" applyProtection="false">
      <alignment horizontal="center" vertical="bottom" textRotation="0" wrapText="false" indent="0" shrinkToFit="false"/>
      <protection locked="true" hidden="false"/>
    </xf>
    <xf numFmtId="164" fontId="23" fillId="7" borderId="0" xfId="0" applyFont="true" applyBorder="fals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general" vertical="bottom" textRotation="0" wrapText="false" indent="0" shrinkToFit="false"/>
      <protection locked="true" hidden="false"/>
    </xf>
    <xf numFmtId="164" fontId="18" fillId="1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5" fontId="33" fillId="0" borderId="1" xfId="0" applyFont="true" applyBorder="true" applyAlignment="true" applyProtection="false">
      <alignment horizontal="general" vertical="bottom" textRotation="0" wrapText="false" indent="0" shrinkToFit="false"/>
      <protection locked="true" hidden="false"/>
    </xf>
    <xf numFmtId="164" fontId="3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name val="Arial"/>
        <charset val="1"/>
        <family val="0"/>
        <b val="1"/>
        <color rgb="FF1E5E20"/>
      </font>
      <fill>
        <patternFill>
          <bgColor rgb="FFD9EAD3"/>
        </patternFill>
      </fill>
    </dxf>
    <dxf>
      <fill>
        <patternFill>
          <bgColor rgb="FFFDF1D0"/>
        </patternFill>
      </fill>
    </dxf>
    <dxf>
      <font>
        <name val="Arial"/>
        <charset val="1"/>
        <family val="0"/>
        <color rgb="FF9C3B00"/>
      </font>
    </dxf>
    <dxf>
      <font>
        <name val="Arial"/>
        <charset val="1"/>
        <family val="0"/>
        <b val="1"/>
        <color rgb="FF1E5E20"/>
      </font>
      <fill>
        <patternFill>
          <bgColor rgb="FFD9EAD3"/>
        </patternFill>
      </fill>
    </dxf>
    <dxf>
      <fill>
        <patternFill>
          <bgColor rgb="FFFDF1D0"/>
        </patternFill>
      </fill>
    </dxf>
  </dxfs>
  <colors>
    <indexedColors>
      <rgbColor rgb="FF000000"/>
      <rgbColor rgb="FFFFFFFF"/>
      <rgbColor rgb="FFFF0000"/>
      <rgbColor rgb="FF00FF00"/>
      <rgbColor rgb="FF0000FF"/>
      <rgbColor rgb="FFFDF3D3"/>
      <rgbColor rgb="FFFF00FF"/>
      <rgbColor rgb="FF00FFFF"/>
      <rgbColor rgb="FF800000"/>
      <rgbColor rgb="FF1E5E20"/>
      <rgbColor rgb="FF000080"/>
      <rgbColor rgb="FF808000"/>
      <rgbColor rgb="FF800080"/>
      <rgbColor rgb="FF008080"/>
      <rgbColor rgb="FFB3B3B3"/>
      <rgbColor rgb="FF808080"/>
      <rgbColor rgb="FF9999FF"/>
      <rgbColor rgb="FF993366"/>
      <rgbColor rgb="FFFFFBE6"/>
      <rgbColor rgb="FFEEF0F6"/>
      <rgbColor rgb="FF660066"/>
      <rgbColor rgb="FFFF8080"/>
      <rgbColor rgb="FF0066CC"/>
      <rgbColor rgb="FFD9D9D9"/>
      <rgbColor rgb="FF000080"/>
      <rgbColor rgb="FFFF00FF"/>
      <rgbColor rgb="FFFFFFF0"/>
      <rgbColor rgb="FF00FFFF"/>
      <rgbColor rgb="FF800080"/>
      <rgbColor rgb="FF800000"/>
      <rgbColor rgb="FF008080"/>
      <rgbColor rgb="FF0000FF"/>
      <rgbColor rgb="FF00CCFF"/>
      <rgbColor rgb="FFEEEEEE"/>
      <rgbColor rgb="FFD9EAD3"/>
      <rgbColor rgb="FFFDF1D0"/>
      <rgbColor rgb="FFD9D4C2"/>
      <rgbColor rgb="FFCFAE6B"/>
      <rgbColor rgb="FFF7F4EA"/>
      <rgbColor rgb="FFF6E2A4"/>
      <rgbColor rgb="FF3366FF"/>
      <rgbColor rgb="FF33CCCC"/>
      <rgbColor rgb="FF99CC00"/>
      <rgbColor rgb="FFFFCC00"/>
      <rgbColor rgb="FFFF9900"/>
      <rgbColor rgb="FFFF6600"/>
      <rgbColor rgb="FF555555"/>
      <rgbColor rgb="FF999999"/>
      <rgbColor rgb="FF1F2D66"/>
      <rgbColor rgb="FF339966"/>
      <rgbColor rgb="FF003300"/>
      <rgbColor rgb="FF333300"/>
      <rgbColor rgb="FF9C3B00"/>
      <rgbColor rgb="FF993366"/>
      <rgbColor rgb="FF333399"/>
      <rgbColor rgb="FF131D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Plancha · escalón 1, Real</a:t>
            </a:r>
          </a:p>
        </c:rich>
      </c:tx>
      <c:overlay val="0"/>
      <c:spPr>
        <a:noFill/>
        <a:ln w="0">
          <a:noFill/>
        </a:ln>
      </c:spPr>
    </c:title>
    <c:autoTitleDeleted val="0"/>
    <c:plotArea>
      <c:lineChart>
        <c:grouping val="standard"/>
        <c:varyColors val="0"/>
        <c:ser>
          <c:idx val="0"/>
          <c:order val="0"/>
          <c:tx>
            <c:strRef>
              <c:f>Datos!B5</c:f>
              <c:strCache>
                <c:ptCount val="1"/>
                <c:pt idx="0">
                  <c:v>Planche hold</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Datos!$C$5:$I$5</c:f>
              <c:numCache>
                <c:formatCode>General</c:formatCode>
                <c:ptCount val="7"/>
              </c:numCache>
            </c:numRef>
          </c:val>
          <c:smooth val="1"/>
        </c:ser>
        <c:ser>
          <c:idx val="1"/>
          <c:order val="1"/>
          <c:tx>
            <c:strRef>
              <c:f>Datos!B6</c:f>
              <c:strCache>
                <c:ptCount val="1"/>
                <c:pt idx="0">
                  <c:v>Planche press</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Datos!$C$6:$I$6</c:f>
              <c:numCache>
                <c:formatCode>General</c:formatCode>
                <c:ptCount val="7"/>
                <c:pt idx="1">
                  <c:v>6</c:v>
                </c:pt>
                <c:pt idx="2">
                  <c:v>7</c:v>
                </c:pt>
                <c:pt idx="3">
                  <c:v>8</c:v>
                </c:pt>
                <c:pt idx="4">
                  <c:v>8</c:v>
                </c:pt>
              </c:numCache>
            </c:numRef>
          </c:val>
          <c:smooth val="1"/>
        </c:ser>
        <c:ser>
          <c:idx val="2"/>
          <c:order val="2"/>
          <c:tx>
            <c:strRef>
              <c:f>Datos!B7</c:f>
              <c:strCache>
                <c:ptCount val="1"/>
                <c:pt idx="0">
                  <c:v>L-sit a plancha</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Datos!$C$7:$I$7</c:f>
              <c:numCache>
                <c:formatCode>General</c:formatCode>
                <c:ptCount val="7"/>
              </c:numCache>
            </c:numRef>
          </c:val>
          <c:smooth val="1"/>
        </c:ser>
        <c:hiLowLines>
          <c:spPr>
            <a:ln w="0">
              <a:noFill/>
            </a:ln>
          </c:spPr>
        </c:hiLowLines>
        <c:marker val="0"/>
        <c:axId val="95121538"/>
        <c:axId val="6766004"/>
      </c:lineChart>
      <c:catAx>
        <c:axId val="9512153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Sesión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766004"/>
        <c:crosses val="autoZero"/>
        <c:auto val="1"/>
        <c:lblAlgn val="ctr"/>
        <c:lblOffset val="100"/>
        <c:noMultiLvlLbl val="0"/>
      </c:catAx>
      <c:valAx>
        <c:axId val="6766004"/>
        <c:scaling>
          <c:orientation val="minMax"/>
          <c:min val="0"/>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512153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Front · escalón 1, Real</a:t>
            </a:r>
          </a:p>
        </c:rich>
      </c:tx>
      <c:overlay val="0"/>
      <c:spPr>
        <a:noFill/>
        <a:ln w="0">
          <a:noFill/>
        </a:ln>
      </c:spPr>
    </c:title>
    <c:autoTitleDeleted val="0"/>
    <c:plotArea>
      <c:lineChart>
        <c:grouping val="standard"/>
        <c:varyColors val="0"/>
        <c:ser>
          <c:idx val="0"/>
          <c:order val="0"/>
          <c:tx>
            <c:strRef>
              <c:f>Datos!B8</c:f>
              <c:strCache>
                <c:ptCount val="1"/>
                <c:pt idx="0">
                  <c:v>Front lever hold</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Datos!$C$8:$I$8</c:f>
              <c:numCache>
                <c:formatCode>General</c:formatCode>
                <c:ptCount val="7"/>
              </c:numCache>
            </c:numRef>
          </c:val>
          <c:smooth val="1"/>
        </c:ser>
        <c:ser>
          <c:idx val="1"/>
          <c:order val="1"/>
          <c:tx>
            <c:strRef>
              <c:f>Datos!B9</c:f>
              <c:strCache>
                <c:ptCount val="1"/>
                <c:pt idx="0">
                  <c:v>Pull-ups en FL</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Datos!$C$9:$I$9</c:f>
              <c:numCache>
                <c:formatCode>General</c:formatCode>
                <c:ptCount val="7"/>
              </c:numCache>
            </c:numRef>
          </c:val>
          <c:smooth val="1"/>
        </c:ser>
        <c:ser>
          <c:idx val="2"/>
          <c:order val="2"/>
          <c:tx>
            <c:strRef>
              <c:f>Datos!B10</c:f>
              <c:strCache>
                <c:ptCount val="1"/>
                <c:pt idx="0">
                  <c:v>FL raises</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Datos!$C$10:$I$10</c:f>
              <c:numCache>
                <c:formatCode>General</c:formatCode>
                <c:ptCount val="7"/>
              </c:numCache>
            </c:numRef>
          </c:val>
          <c:smooth val="1"/>
        </c:ser>
        <c:hiLowLines>
          <c:spPr>
            <a:ln w="0">
              <a:noFill/>
            </a:ln>
          </c:spPr>
        </c:hiLowLines>
        <c:marker val="0"/>
        <c:axId val="8226156"/>
        <c:axId val="16923978"/>
      </c:lineChart>
      <c:catAx>
        <c:axId val="822615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Sesión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6923978"/>
        <c:crosses val="autoZero"/>
        <c:auto val="1"/>
        <c:lblAlgn val="ctr"/>
        <c:lblOffset val="100"/>
        <c:noMultiLvlLbl val="0"/>
      </c:catAx>
      <c:valAx>
        <c:axId val="16923978"/>
        <c:scaling>
          <c:orientation val="minMax"/>
          <c:min val="0"/>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22615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Vertical · escalón 1, Real</a:t>
            </a:r>
          </a:p>
        </c:rich>
      </c:tx>
      <c:overlay val="0"/>
      <c:spPr>
        <a:noFill/>
        <a:ln w="0">
          <a:noFill/>
        </a:ln>
      </c:spPr>
    </c:title>
    <c:autoTitleDeleted val="0"/>
    <c:plotArea>
      <c:lineChart>
        <c:grouping val="standard"/>
        <c:varyColors val="0"/>
        <c:ser>
          <c:idx val="0"/>
          <c:order val="0"/>
          <c:tx>
            <c:strRef>
              <c:f>Datos!B11</c:f>
              <c:strCache>
                <c:ptCount val="1"/>
                <c:pt idx="0">
                  <c:v>HSPU</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Datos!$C$11:$I$11</c:f>
              <c:numCache>
                <c:formatCode>General</c:formatCode>
                <c:ptCount val="7"/>
              </c:numCache>
            </c:numRef>
          </c:val>
          <c:smooth val="1"/>
        </c:ser>
        <c:ser>
          <c:idx val="1"/>
          <c:order val="1"/>
          <c:tx>
            <c:strRef>
              <c:f>Datos!B12</c:f>
              <c:strCache>
                <c:ptCount val="1"/>
                <c:pt idx="0">
                  <c:v>90° press</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Datos!$C$12:$I$12</c:f>
              <c:numCache>
                <c:formatCode>General</c:formatCode>
                <c:ptCount val="7"/>
              </c:numCache>
            </c:numRef>
          </c:val>
          <c:smooth val="1"/>
        </c:ser>
        <c:ser>
          <c:idx val="2"/>
          <c:order val="2"/>
          <c:tx>
            <c:strRef>
              <c:f>Datos!B13</c:f>
              <c:strCache>
                <c:ptCount val="1"/>
                <c:pt idx="0">
                  <c:v>Planche push-up</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Datos!$C$13:$I$13</c:f>
              <c:numCache>
                <c:formatCode>General</c:formatCode>
                <c:ptCount val="7"/>
              </c:numCache>
            </c:numRef>
          </c:val>
          <c:smooth val="1"/>
        </c:ser>
        <c:hiLowLines>
          <c:spPr>
            <a:ln w="0">
              <a:noFill/>
            </a:ln>
          </c:spPr>
        </c:hiLowLines>
        <c:marker val="0"/>
        <c:axId val="50970226"/>
        <c:axId val="88079777"/>
      </c:lineChart>
      <c:catAx>
        <c:axId val="5097022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Sesión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8079777"/>
        <c:crosses val="autoZero"/>
        <c:auto val="1"/>
        <c:lblAlgn val="ctr"/>
        <c:lblOffset val="100"/>
        <c:noMultiLvlLbl val="0"/>
      </c:catAx>
      <c:valAx>
        <c:axId val="88079777"/>
        <c:scaling>
          <c:orientation val="minMax"/>
          <c:min val="0"/>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5097022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Dominadas · escalón 1, Real</a:t>
            </a:r>
          </a:p>
        </c:rich>
      </c:tx>
      <c:overlay val="0"/>
      <c:spPr>
        <a:noFill/>
        <a:ln w="0">
          <a:noFill/>
        </a:ln>
      </c:spPr>
    </c:title>
    <c:autoTitleDeleted val="0"/>
    <c:plotArea>
      <c:lineChart>
        <c:grouping val="standard"/>
        <c:varyColors val="0"/>
        <c:ser>
          <c:idx val="0"/>
          <c:order val="0"/>
          <c:tx>
            <c:strRef>
              <c:f>Datos!B14</c:f>
              <c:strCache>
                <c:ptCount val="1"/>
                <c:pt idx="0">
                  <c:v>One arm / archer</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Datos!$C$14:$I$14</c:f>
              <c:numCache>
                <c:formatCode>General</c:formatCode>
                <c:ptCount val="7"/>
              </c:numCache>
            </c:numRef>
          </c:val>
          <c:smooth val="1"/>
        </c:ser>
        <c:ser>
          <c:idx val="1"/>
          <c:order val="1"/>
          <c:tx>
            <c:strRef>
              <c:f>Datos!B15</c:f>
              <c:strCache>
                <c:ptCount val="1"/>
                <c:pt idx="0">
                  <c:v>Muscle-up</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Datos!$C$15:$I$15</c:f>
              <c:numCache>
                <c:formatCode>General</c:formatCode>
                <c:ptCount val="7"/>
              </c:numCache>
            </c:numRef>
          </c:val>
          <c:smooth val="1"/>
        </c:ser>
        <c:ser>
          <c:idx val="2"/>
          <c:order val="2"/>
          <c:tx>
            <c:strRef>
              <c:f>Datos!B16</c:f>
              <c:strCache>
                <c:ptCount val="1"/>
                <c:pt idx="0">
                  <c:v>Fondo a pelícano</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Datos!$C$16:$I$16</c:f>
              <c:numCache>
                <c:formatCode>General</c:formatCode>
                <c:ptCount val="7"/>
              </c:numCache>
            </c:numRef>
          </c:val>
          <c:smooth val="1"/>
        </c:ser>
        <c:hiLowLines>
          <c:spPr>
            <a:ln w="0">
              <a:noFill/>
            </a:ln>
          </c:spPr>
        </c:hiLowLines>
        <c:marker val="0"/>
        <c:axId val="95562098"/>
        <c:axId val="1559026"/>
      </c:lineChart>
      <c:catAx>
        <c:axId val="9556209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Sesión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1559026"/>
        <c:crosses val="autoZero"/>
        <c:auto val="1"/>
        <c:lblAlgn val="ctr"/>
        <c:lblOffset val="100"/>
        <c:noMultiLvlLbl val="0"/>
      </c:catAx>
      <c:valAx>
        <c:axId val="1559026"/>
        <c:scaling>
          <c:orientation val="minMax"/>
          <c:min val="0"/>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5562098"/>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zero"/>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Plancha · ejercicio 1: predicho vs real</a:t>
            </a:r>
          </a:p>
        </c:rich>
      </c:tx>
      <c:overlay val="0"/>
      <c:spPr>
        <a:noFill/>
        <a:ln w="0">
          <a:noFill/>
        </a:ln>
      </c:spPr>
    </c:title>
    <c:autoTitleDeleted val="0"/>
    <c:plotArea>
      <c:lineChart>
        <c:grouping val="standard"/>
        <c:varyColors val="0"/>
        <c:ser>
          <c:idx val="0"/>
          <c:order val="0"/>
          <c:tx>
            <c:strRef>
              <c:f>Datos!B19</c:f>
              <c:strCache>
                <c:ptCount val="1"/>
                <c:pt idx="0">
                  <c:v>Plancha · prev</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Datos!$C$19:$I$19</c:f>
              <c:numCache>
                <c:formatCode>General</c:formatCode>
                <c:ptCount val="7"/>
                <c:pt idx="1">
                  <c:v>4</c:v>
                </c:pt>
              </c:numCache>
            </c:numRef>
          </c:val>
          <c:smooth val="1"/>
        </c:ser>
        <c:ser>
          <c:idx val="1"/>
          <c:order val="1"/>
          <c:tx>
            <c:strRef>
              <c:f>Datos!B20</c:f>
              <c:strCache>
                <c:ptCount val="1"/>
                <c:pt idx="0">
                  <c:v>Plancha · real</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Datos!$C$20:$I$20</c:f>
              <c:numCache>
                <c:formatCode>General</c:formatCode>
                <c:ptCount val="7"/>
              </c:numCache>
            </c:numRef>
          </c:val>
          <c:smooth val="1"/>
        </c:ser>
        <c:hiLowLines>
          <c:spPr>
            <a:ln w="0">
              <a:noFill/>
            </a:ln>
          </c:spPr>
        </c:hiLowLines>
        <c:marker val="0"/>
        <c:axId val="93464822"/>
        <c:axId val="96621272"/>
      </c:lineChart>
      <c:catAx>
        <c:axId val="9346482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Sesión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6621272"/>
        <c:crosses val="autoZero"/>
        <c:auto val="1"/>
        <c:lblAlgn val="ctr"/>
        <c:lblOffset val="100"/>
        <c:noMultiLvlLbl val="0"/>
      </c:catAx>
      <c:valAx>
        <c:axId val="96621272"/>
        <c:scaling>
          <c:orientation val="minMax"/>
          <c:min val="0"/>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346482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Front · ejercicio 1: predicho vs real</a:t>
            </a:r>
          </a:p>
        </c:rich>
      </c:tx>
      <c:overlay val="0"/>
      <c:spPr>
        <a:noFill/>
        <a:ln w="0">
          <a:noFill/>
        </a:ln>
      </c:spPr>
    </c:title>
    <c:autoTitleDeleted val="0"/>
    <c:plotArea>
      <c:lineChart>
        <c:grouping val="standard"/>
        <c:varyColors val="0"/>
        <c:ser>
          <c:idx val="0"/>
          <c:order val="0"/>
          <c:tx>
            <c:strRef>
              <c:f>Datos!B21</c:f>
              <c:strCache>
                <c:ptCount val="1"/>
                <c:pt idx="0">
                  <c:v>Front · prev</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Datos!$C$21:$I$21</c:f>
              <c:numCache>
                <c:formatCode>General</c:formatCode>
                <c:ptCount val="7"/>
                <c:pt idx="1">
                  <c:v>4</c:v>
                </c:pt>
              </c:numCache>
            </c:numRef>
          </c:val>
          <c:smooth val="1"/>
        </c:ser>
        <c:ser>
          <c:idx val="1"/>
          <c:order val="1"/>
          <c:tx>
            <c:strRef>
              <c:f>Datos!B22</c:f>
              <c:strCache>
                <c:ptCount val="1"/>
                <c:pt idx="0">
                  <c:v>Front · real</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Datos!$C$22:$I$22</c:f>
              <c:numCache>
                <c:formatCode>General</c:formatCode>
                <c:ptCount val="7"/>
              </c:numCache>
            </c:numRef>
          </c:val>
          <c:smooth val="1"/>
        </c:ser>
        <c:hiLowLines>
          <c:spPr>
            <a:ln w="0">
              <a:noFill/>
            </a:ln>
          </c:spPr>
        </c:hiLowLines>
        <c:marker val="0"/>
        <c:axId val="23928742"/>
        <c:axId val="96154678"/>
      </c:lineChart>
      <c:catAx>
        <c:axId val="2392874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Sesión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96154678"/>
        <c:crosses val="autoZero"/>
        <c:auto val="1"/>
        <c:lblAlgn val="ctr"/>
        <c:lblOffset val="100"/>
        <c:noMultiLvlLbl val="0"/>
      </c:catAx>
      <c:valAx>
        <c:axId val="96154678"/>
        <c:scaling>
          <c:orientation val="minMax"/>
          <c:min val="0"/>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392874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Vertical · ejercicio 1: predicho vs real</a:t>
            </a:r>
          </a:p>
        </c:rich>
      </c:tx>
      <c:overlay val="0"/>
      <c:spPr>
        <a:noFill/>
        <a:ln w="0">
          <a:noFill/>
        </a:ln>
      </c:spPr>
    </c:title>
    <c:autoTitleDeleted val="0"/>
    <c:plotArea>
      <c:lineChart>
        <c:grouping val="standard"/>
        <c:varyColors val="0"/>
        <c:ser>
          <c:idx val="0"/>
          <c:order val="0"/>
          <c:tx>
            <c:strRef>
              <c:f>Datos!B23</c:f>
              <c:strCache>
                <c:ptCount val="1"/>
                <c:pt idx="0">
                  <c:v>Vertical · prev</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Datos!$C$23:$I$23</c:f>
              <c:numCache>
                <c:formatCode>General</c:formatCode>
                <c:ptCount val="7"/>
                <c:pt idx="1">
                  <c:v>3</c:v>
                </c:pt>
              </c:numCache>
            </c:numRef>
          </c:val>
          <c:smooth val="1"/>
        </c:ser>
        <c:ser>
          <c:idx val="1"/>
          <c:order val="1"/>
          <c:tx>
            <c:strRef>
              <c:f>Datos!B24</c:f>
              <c:strCache>
                <c:ptCount val="1"/>
                <c:pt idx="0">
                  <c:v>Vertical · real</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Datos!$C$24:$I$24</c:f>
              <c:numCache>
                <c:formatCode>General</c:formatCode>
                <c:ptCount val="7"/>
              </c:numCache>
            </c:numRef>
          </c:val>
          <c:smooth val="1"/>
        </c:ser>
        <c:hiLowLines>
          <c:spPr>
            <a:ln w="0">
              <a:noFill/>
            </a:ln>
          </c:spPr>
        </c:hiLowLines>
        <c:marker val="0"/>
        <c:axId val="63754037"/>
        <c:axId val="84904488"/>
      </c:lineChart>
      <c:catAx>
        <c:axId val="6375403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Sesión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4904488"/>
        <c:crosses val="autoZero"/>
        <c:auto val="1"/>
        <c:lblAlgn val="ctr"/>
        <c:lblOffset val="100"/>
        <c:noMultiLvlLbl val="0"/>
      </c:catAx>
      <c:valAx>
        <c:axId val="84904488"/>
        <c:scaling>
          <c:orientation val="minMax"/>
          <c:min val="0"/>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375403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Dominadas · ejercicio 1: predicho vs real</a:t>
            </a:r>
          </a:p>
        </c:rich>
      </c:tx>
      <c:overlay val="0"/>
      <c:spPr>
        <a:noFill/>
        <a:ln w="0">
          <a:noFill/>
        </a:ln>
      </c:spPr>
    </c:title>
    <c:autoTitleDeleted val="0"/>
    <c:plotArea>
      <c:lineChart>
        <c:grouping val="standard"/>
        <c:varyColors val="0"/>
        <c:ser>
          <c:idx val="0"/>
          <c:order val="0"/>
          <c:tx>
            <c:strRef>
              <c:f>Datos!B25</c:f>
              <c:strCache>
                <c:ptCount val="1"/>
                <c:pt idx="0">
                  <c:v>Dominadas · prev</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Datos!$C$25:$I$25</c:f>
              <c:numCache>
                <c:formatCode>General</c:formatCode>
                <c:ptCount val="7"/>
                <c:pt idx="1">
                  <c:v>3</c:v>
                </c:pt>
              </c:numCache>
            </c:numRef>
          </c:val>
          <c:smooth val="1"/>
        </c:ser>
        <c:ser>
          <c:idx val="1"/>
          <c:order val="1"/>
          <c:tx>
            <c:strRef>
              <c:f>Datos!B26</c:f>
              <c:strCache>
                <c:ptCount val="1"/>
                <c:pt idx="0">
                  <c:v>Dominadas · real</c:v>
                </c:pt>
              </c:strCache>
            </c:strRef>
          </c:tx>
          <c:spPr>
            <a:solidFill>
              <a:srgbClr val="ffffff"/>
            </a:solidFill>
            <a:ln w="0">
              <a:solidFill>
                <a:srgbClr val="ffffff"/>
              </a:solidFill>
            </a:ln>
          </c:spPr>
          <c:marker>
            <c:symbol val="none"/>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Datos!$D$4:$I$4</c:f>
              <c:strCache>
                <c:ptCount val="6"/>
                <c:pt idx="0">
                  <c:v>S1</c:v>
                </c:pt>
                <c:pt idx="1">
                  <c:v>S2</c:v>
                </c:pt>
                <c:pt idx="2">
                  <c:v>S3</c:v>
                </c:pt>
                <c:pt idx="3">
                  <c:v>S4</c:v>
                </c:pt>
                <c:pt idx="4">
                  <c:v>S5</c:v>
                </c:pt>
                <c:pt idx="5">
                  <c:v>S6</c:v>
                </c:pt>
              </c:strCache>
            </c:strRef>
          </c:cat>
          <c:val>
            <c:numRef>
              <c:f>Datos!$C$26:$I$26</c:f>
              <c:numCache>
                <c:formatCode>General</c:formatCode>
                <c:ptCount val="7"/>
              </c:numCache>
            </c:numRef>
          </c:val>
          <c:smooth val="1"/>
        </c:ser>
        <c:hiLowLines>
          <c:spPr>
            <a:ln w="0">
              <a:noFill/>
            </a:ln>
          </c:spPr>
        </c:hiLowLines>
        <c:marker val="0"/>
        <c:axId val="20969536"/>
        <c:axId val="62106644"/>
      </c:lineChart>
      <c:catAx>
        <c:axId val="2096953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Sesión</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62106644"/>
        <c:crosses val="autoZero"/>
        <c:auto val="1"/>
        <c:lblAlgn val="ctr"/>
        <c:lblOffset val="100"/>
        <c:noMultiLvlLbl val="0"/>
      </c:catAx>
      <c:valAx>
        <c:axId val="62106644"/>
        <c:scaling>
          <c:orientation val="minMax"/>
          <c:min val="0"/>
        </c:scaling>
        <c:delete val="0"/>
        <c:axPos val="l"/>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2096953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13</xdr:row>
      <xdr:rowOff>0</xdr:rowOff>
    </xdr:from>
    <xdr:to>
      <xdr:col>9</xdr:col>
      <xdr:colOff>592920</xdr:colOff>
      <xdr:row>27</xdr:row>
      <xdr:rowOff>74520</xdr:rowOff>
    </xdr:to>
    <xdr:pic>
      <xdr:nvPicPr>
        <xdr:cNvPr id="0" name="Image 1" descr="Picture"/>
        <xdr:cNvPicPr/>
      </xdr:nvPicPr>
      <xdr:blipFill>
        <a:blip r:embed="rId1"/>
        <a:stretch/>
      </xdr:blipFill>
      <xdr:spPr>
        <a:xfrm>
          <a:off x="1550520" y="2562120"/>
          <a:ext cx="5484960" cy="2741760"/>
        </a:xfrm>
        <a:prstGeom prst="rect">
          <a:avLst/>
        </a:prstGeom>
        <a:ln w="0">
          <a:noFill/>
        </a:ln>
      </xdr:spPr>
    </xdr:pic>
    <xdr:clientData/>
  </xdr:twoCellAnchor>
  <xdr:twoCellAnchor editAs="oneCell">
    <xdr:from>
      <xdr:col>9</xdr:col>
      <xdr:colOff>0</xdr:colOff>
      <xdr:row>13</xdr:row>
      <xdr:rowOff>0</xdr:rowOff>
    </xdr:from>
    <xdr:to>
      <xdr:col>17</xdr:col>
      <xdr:colOff>592920</xdr:colOff>
      <xdr:row>27</xdr:row>
      <xdr:rowOff>74520</xdr:rowOff>
    </xdr:to>
    <xdr:pic>
      <xdr:nvPicPr>
        <xdr:cNvPr id="1" name="Image 2" descr="Picture"/>
        <xdr:cNvPicPr/>
      </xdr:nvPicPr>
      <xdr:blipFill>
        <a:blip r:embed="rId2"/>
        <a:stretch/>
      </xdr:blipFill>
      <xdr:spPr>
        <a:xfrm>
          <a:off x="6442560" y="2562120"/>
          <a:ext cx="5484960" cy="2741760"/>
        </a:xfrm>
        <a:prstGeom prst="rect">
          <a:avLst/>
        </a:prstGeom>
        <a:ln w="0">
          <a:noFill/>
        </a:ln>
      </xdr:spPr>
    </xdr:pic>
    <xdr:clientData/>
  </xdr:twoCellAnchor>
  <xdr:twoCellAnchor editAs="oneCell">
    <xdr:from>
      <xdr:col>1</xdr:col>
      <xdr:colOff>0</xdr:colOff>
      <xdr:row>33</xdr:row>
      <xdr:rowOff>0</xdr:rowOff>
    </xdr:from>
    <xdr:to>
      <xdr:col>9</xdr:col>
      <xdr:colOff>592920</xdr:colOff>
      <xdr:row>47</xdr:row>
      <xdr:rowOff>74880</xdr:rowOff>
    </xdr:to>
    <xdr:pic>
      <xdr:nvPicPr>
        <xdr:cNvPr id="2" name="Image 3" descr="Picture"/>
        <xdr:cNvPicPr/>
      </xdr:nvPicPr>
      <xdr:blipFill>
        <a:blip r:embed="rId3"/>
        <a:stretch/>
      </xdr:blipFill>
      <xdr:spPr>
        <a:xfrm>
          <a:off x="1550520" y="6372360"/>
          <a:ext cx="5484960" cy="27417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xdr:row>
      <xdr:rowOff>101160</xdr:rowOff>
    </xdr:from>
    <xdr:to>
      <xdr:col>9</xdr:col>
      <xdr:colOff>254160</xdr:colOff>
      <xdr:row>17</xdr:row>
      <xdr:rowOff>131760</xdr:rowOff>
    </xdr:to>
    <xdr:graphicFrame>
      <xdr:nvGraphicFramePr>
        <xdr:cNvPr id="3" name="Chart 1"/>
        <xdr:cNvGraphicFramePr/>
      </xdr:nvGraphicFramePr>
      <xdr:xfrm>
        <a:off x="0" y="758520"/>
        <a:ext cx="5757840" cy="26974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3</xdr:row>
      <xdr:rowOff>101160</xdr:rowOff>
    </xdr:from>
    <xdr:to>
      <xdr:col>18</xdr:col>
      <xdr:colOff>254520</xdr:colOff>
      <xdr:row>17</xdr:row>
      <xdr:rowOff>131760</xdr:rowOff>
    </xdr:to>
    <xdr:graphicFrame>
      <xdr:nvGraphicFramePr>
        <xdr:cNvPr id="4" name="Chart 2"/>
        <xdr:cNvGraphicFramePr/>
      </xdr:nvGraphicFramePr>
      <xdr:xfrm>
        <a:off x="5503680" y="758520"/>
        <a:ext cx="5757840" cy="26974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0</xdr:colOff>
      <xdr:row>3</xdr:row>
      <xdr:rowOff>101160</xdr:rowOff>
    </xdr:from>
    <xdr:to>
      <xdr:col>27</xdr:col>
      <xdr:colOff>254160</xdr:colOff>
      <xdr:row>17</xdr:row>
      <xdr:rowOff>131760</xdr:rowOff>
    </xdr:to>
    <xdr:graphicFrame>
      <xdr:nvGraphicFramePr>
        <xdr:cNvPr id="5" name="Chart 3"/>
        <xdr:cNvGraphicFramePr/>
      </xdr:nvGraphicFramePr>
      <xdr:xfrm>
        <a:off x="11007000" y="758520"/>
        <a:ext cx="5757840" cy="26974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19</xdr:row>
      <xdr:rowOff>100800</xdr:rowOff>
    </xdr:from>
    <xdr:to>
      <xdr:col>9</xdr:col>
      <xdr:colOff>254160</xdr:colOff>
      <xdr:row>33</xdr:row>
      <xdr:rowOff>131760</xdr:rowOff>
    </xdr:to>
    <xdr:graphicFrame>
      <xdr:nvGraphicFramePr>
        <xdr:cNvPr id="6" name="Chart 4"/>
        <xdr:cNvGraphicFramePr/>
      </xdr:nvGraphicFramePr>
      <xdr:xfrm>
        <a:off x="0" y="3805920"/>
        <a:ext cx="5757840" cy="2698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0</xdr:colOff>
      <xdr:row>19</xdr:row>
      <xdr:rowOff>100800</xdr:rowOff>
    </xdr:from>
    <xdr:to>
      <xdr:col>18</xdr:col>
      <xdr:colOff>254520</xdr:colOff>
      <xdr:row>33</xdr:row>
      <xdr:rowOff>131760</xdr:rowOff>
    </xdr:to>
    <xdr:graphicFrame>
      <xdr:nvGraphicFramePr>
        <xdr:cNvPr id="7" name="Chart 5"/>
        <xdr:cNvGraphicFramePr/>
      </xdr:nvGraphicFramePr>
      <xdr:xfrm>
        <a:off x="5503680" y="3805920"/>
        <a:ext cx="5757840" cy="2698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0</xdr:colOff>
      <xdr:row>19</xdr:row>
      <xdr:rowOff>100800</xdr:rowOff>
    </xdr:from>
    <xdr:to>
      <xdr:col>27</xdr:col>
      <xdr:colOff>254160</xdr:colOff>
      <xdr:row>33</xdr:row>
      <xdr:rowOff>131760</xdr:rowOff>
    </xdr:to>
    <xdr:graphicFrame>
      <xdr:nvGraphicFramePr>
        <xdr:cNvPr id="8" name="Chart 6"/>
        <xdr:cNvGraphicFramePr/>
      </xdr:nvGraphicFramePr>
      <xdr:xfrm>
        <a:off x="11007000" y="3805920"/>
        <a:ext cx="5757840" cy="26982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35</xdr:row>
      <xdr:rowOff>100800</xdr:rowOff>
    </xdr:from>
    <xdr:to>
      <xdr:col>9</xdr:col>
      <xdr:colOff>254160</xdr:colOff>
      <xdr:row>49</xdr:row>
      <xdr:rowOff>131760</xdr:rowOff>
    </xdr:to>
    <xdr:graphicFrame>
      <xdr:nvGraphicFramePr>
        <xdr:cNvPr id="9" name="Chart 7"/>
        <xdr:cNvGraphicFramePr/>
      </xdr:nvGraphicFramePr>
      <xdr:xfrm>
        <a:off x="0" y="6854040"/>
        <a:ext cx="5757840" cy="26978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0</xdr:colOff>
      <xdr:row>35</xdr:row>
      <xdr:rowOff>100800</xdr:rowOff>
    </xdr:from>
    <xdr:to>
      <xdr:col>18</xdr:col>
      <xdr:colOff>254520</xdr:colOff>
      <xdr:row>49</xdr:row>
      <xdr:rowOff>131760</xdr:rowOff>
    </xdr:to>
    <xdr:graphicFrame>
      <xdr:nvGraphicFramePr>
        <xdr:cNvPr id="10" name="Chart 8"/>
        <xdr:cNvGraphicFramePr/>
      </xdr:nvGraphicFramePr>
      <xdr:xfrm>
        <a:off x="5503680" y="6854040"/>
        <a:ext cx="5757840" cy="26978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FAE6B"/>
    <pageSetUpPr fitToPage="false"/>
  </sheetPr>
  <dimension ref="A1:F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6"/>
    <col collapsed="false" customWidth="true" hidden="false" outlineLevel="0" max="3" min="3" style="1" width="74"/>
    <col collapsed="false" customWidth="true" hidden="false" outlineLevel="0" max="5" min="4" style="1" width="4"/>
  </cols>
  <sheetData>
    <row r="1" customFormat="false" ht="15" hidden="false" customHeight="true" outlineLevel="0" collapsed="false">
      <c r="A1" s="2"/>
      <c r="B1" s="2"/>
      <c r="C1" s="2"/>
      <c r="D1" s="2"/>
      <c r="E1" s="2"/>
      <c r="F1" s="2"/>
    </row>
    <row r="2" customFormat="false" ht="21.75" hidden="false" customHeight="true" outlineLevel="0" collapsed="false">
      <c r="A2" s="2"/>
      <c r="B2" s="3" t="s">
        <v>0</v>
      </c>
      <c r="C2" s="2"/>
      <c r="D2" s="2"/>
      <c r="E2" s="2"/>
      <c r="F2" s="2"/>
    </row>
    <row r="3" customFormat="false" ht="15" hidden="false" customHeight="true" outlineLevel="0" collapsed="false">
      <c r="A3" s="2"/>
      <c r="B3" s="4" t="s">
        <v>1</v>
      </c>
      <c r="C3" s="2"/>
      <c r="D3" s="2"/>
      <c r="E3" s="2"/>
      <c r="F3" s="2"/>
    </row>
    <row r="4" customFormat="false" ht="15" hidden="false" customHeight="true" outlineLevel="0" collapsed="false">
      <c r="A4" s="2"/>
      <c r="B4" s="2"/>
      <c r="C4" s="2"/>
      <c r="D4" s="2"/>
      <c r="E4" s="2"/>
      <c r="F4" s="2"/>
    </row>
    <row r="5" customFormat="false" ht="15" hidden="false" customHeight="true" outlineLevel="0" collapsed="false">
      <c r="B5" s="5" t="s">
        <v>2</v>
      </c>
    </row>
    <row r="6" customFormat="false" ht="15" hidden="false" customHeight="true" outlineLevel="0" collapsed="false">
      <c r="B6" s="6" t="s">
        <v>3</v>
      </c>
      <c r="C6" s="7" t="n">
        <v>1</v>
      </c>
    </row>
    <row r="7" customFormat="false" ht="15" hidden="false" customHeight="true" outlineLevel="0" collapsed="false">
      <c r="B7" s="6" t="s">
        <v>4</v>
      </c>
      <c r="C7" s="7" t="n">
        <v>2</v>
      </c>
    </row>
    <row r="8" customFormat="false" ht="15" hidden="false" customHeight="true" outlineLevel="0" collapsed="false">
      <c r="B8" s="8" t="s">
        <v>5</v>
      </c>
    </row>
    <row r="10" customFormat="false" ht="33.75" hidden="false" customHeight="true" outlineLevel="0" collapsed="false">
      <c r="B10" s="5" t="s">
        <v>6</v>
      </c>
      <c r="C10" s="9" t="s">
        <v>7</v>
      </c>
    </row>
    <row r="11" customFormat="false" ht="33.75" hidden="false" customHeight="true" outlineLevel="0" collapsed="false">
      <c r="B11" s="5" t="s">
        <v>8</v>
      </c>
      <c r="C11" s="9" t="s">
        <v>9</v>
      </c>
    </row>
    <row r="12" customFormat="false" ht="33.75" hidden="false" customHeight="true" outlineLevel="0" collapsed="false">
      <c r="B12" s="5" t="s">
        <v>10</v>
      </c>
      <c r="C12" s="9" t="s">
        <v>11</v>
      </c>
    </row>
    <row r="13" customFormat="false" ht="33.75" hidden="false" customHeight="true" outlineLevel="0" collapsed="false">
      <c r="B13" s="5" t="s">
        <v>12</v>
      </c>
      <c r="C13" s="9" t="s">
        <v>13</v>
      </c>
    </row>
    <row r="14" customFormat="false" ht="33.75" hidden="false" customHeight="true" outlineLevel="0" collapsed="false">
      <c r="B14" s="5" t="s">
        <v>14</v>
      </c>
      <c r="C14" s="9" t="s">
        <v>15</v>
      </c>
    </row>
    <row r="15" customFormat="false" ht="33.75" hidden="false" customHeight="true" outlineLevel="0" collapsed="false">
      <c r="B15" s="5" t="s">
        <v>16</v>
      </c>
      <c r="C15" s="9" t="s">
        <v>17</v>
      </c>
    </row>
    <row r="16" customFormat="false" ht="33.75" hidden="false" customHeight="true" outlineLevel="0" collapsed="false">
      <c r="B16" s="5" t="s">
        <v>18</v>
      </c>
      <c r="C16" s="9" t="s">
        <v>19</v>
      </c>
    </row>
    <row r="17" customFormat="false" ht="33.75" hidden="false" customHeight="true" outlineLevel="0" collapsed="false">
      <c r="B17" s="5" t="s">
        <v>20</v>
      </c>
      <c r="C17" s="9" t="s">
        <v>21</v>
      </c>
    </row>
    <row r="18" customFormat="false" ht="33.75" hidden="false" customHeight="true" outlineLevel="0" collapsed="false">
      <c r="B18" s="5" t="s">
        <v>22</v>
      </c>
      <c r="C18" s="9" t="s">
        <v>23</v>
      </c>
    </row>
    <row r="19" customFormat="false" ht="39.75" hidden="false" customHeight="true" outlineLevel="0" collapsed="false">
      <c r="B19" s="5" t="s">
        <v>24</v>
      </c>
      <c r="C19" s="9" t="s">
        <v>25</v>
      </c>
    </row>
    <row r="21" customFormat="false" ht="15" hidden="false" customHeight="true" outlineLevel="0" collapsed="false">
      <c r="B21" s="10" t="s">
        <v>26</v>
      </c>
    </row>
    <row r="22" customFormat="false" ht="15" hidden="false" customHeight="true" outlineLevel="0" collapsed="false">
      <c r="B22" s="11" t="s">
        <v>27</v>
      </c>
    </row>
    <row r="23" customFormat="false" ht="15" hidden="false" customHeight="true" outlineLevel="0" collapsed="false">
      <c r="B23" s="12" t="s">
        <v>28</v>
      </c>
    </row>
    <row r="24" customFormat="false" ht="15" hidden="false" customHeight="true" outlineLevel="0" collapsed="false">
      <c r="B24" s="13"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5E20"/>
    <pageSetUpPr fitToPage="false"/>
  </sheetPr>
  <dimension ref="A1:AC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s>
  <sheetData>
    <row r="1" customFormat="false" ht="21.75" hidden="false" customHeight="true" outlineLevel="0" collapsed="false">
      <c r="A1" s="14" t="s">
        <v>30</v>
      </c>
      <c r="B1" s="2"/>
      <c r="C1" s="2"/>
      <c r="D1" s="2"/>
      <c r="E1" s="2"/>
      <c r="F1" s="2"/>
      <c r="G1" s="2"/>
      <c r="H1" s="2"/>
      <c r="I1" s="2"/>
      <c r="J1" s="2"/>
      <c r="K1" s="2"/>
      <c r="L1" s="2"/>
      <c r="M1" s="2"/>
      <c r="N1" s="2"/>
      <c r="O1" s="2"/>
      <c r="P1" s="2"/>
      <c r="Q1" s="2"/>
      <c r="R1" s="2"/>
      <c r="S1" s="2"/>
      <c r="T1" s="2"/>
      <c r="U1" s="2"/>
      <c r="V1" s="2"/>
      <c r="W1" s="2"/>
      <c r="X1" s="2"/>
      <c r="Y1" s="2"/>
      <c r="Z1" s="2"/>
      <c r="AA1" s="2"/>
      <c r="AB1" s="2"/>
      <c r="AC1" s="2"/>
    </row>
    <row r="2" customFormat="false" ht="15" hidden="false" customHeight="true" outlineLevel="0" collapsed="false">
      <c r="A2" s="15" t="s">
        <v>31</v>
      </c>
      <c r="B2" s="2"/>
      <c r="C2" s="2"/>
      <c r="D2" s="2"/>
      <c r="E2" s="2"/>
      <c r="F2" s="2"/>
      <c r="G2" s="2"/>
      <c r="H2" s="2"/>
      <c r="I2" s="2"/>
      <c r="J2" s="2"/>
      <c r="K2" s="2"/>
      <c r="L2" s="2"/>
      <c r="M2" s="2"/>
      <c r="N2" s="2"/>
      <c r="O2" s="2"/>
      <c r="P2" s="2"/>
      <c r="Q2" s="2"/>
      <c r="R2" s="2"/>
      <c r="S2" s="2"/>
      <c r="T2" s="2"/>
      <c r="U2" s="2"/>
      <c r="V2" s="2"/>
      <c r="W2" s="2"/>
      <c r="X2" s="2"/>
      <c r="Y2" s="2"/>
      <c r="Z2" s="2"/>
      <c r="AA2" s="2"/>
      <c r="AB2" s="2"/>
      <c r="AC2" s="2"/>
    </row>
    <row r="3" customFormat="false" ht="15" hidden="false" customHeight="true" outlineLevel="0" collapsed="false">
      <c r="A3" s="2"/>
      <c r="B3" s="2"/>
      <c r="C3" s="2"/>
      <c r="D3" s="2"/>
      <c r="E3" s="2"/>
      <c r="F3" s="2"/>
      <c r="G3" s="2"/>
      <c r="H3" s="2"/>
      <c r="I3" s="2"/>
      <c r="J3" s="2"/>
      <c r="K3" s="2"/>
      <c r="L3" s="2"/>
      <c r="M3" s="2"/>
      <c r="N3" s="2"/>
      <c r="O3" s="2"/>
      <c r="P3" s="2"/>
      <c r="Q3" s="2"/>
      <c r="R3" s="2"/>
      <c r="S3" s="2"/>
      <c r="T3" s="2"/>
      <c r="U3" s="2"/>
      <c r="V3" s="2"/>
      <c r="W3" s="2"/>
      <c r="X3" s="2"/>
      <c r="Y3" s="2"/>
      <c r="Z3" s="2"/>
      <c r="AA3" s="2"/>
      <c r="AB3" s="2"/>
      <c r="AC3" s="2"/>
    </row>
    <row r="4" customFormat="false" ht="15" hidden="false" customHeight="true" outlineLevel="0" collapsed="false">
      <c r="A4" s="2"/>
      <c r="B4" s="2"/>
      <c r="C4" s="2"/>
      <c r="D4" s="2"/>
      <c r="E4" s="2"/>
      <c r="F4" s="2"/>
      <c r="G4" s="2"/>
      <c r="H4" s="2"/>
      <c r="I4" s="2"/>
      <c r="J4" s="2"/>
      <c r="K4" s="2"/>
      <c r="L4" s="2"/>
      <c r="M4" s="2"/>
      <c r="N4" s="2"/>
      <c r="O4" s="2"/>
      <c r="P4" s="2"/>
      <c r="Q4" s="2"/>
      <c r="R4" s="2"/>
      <c r="S4" s="2"/>
      <c r="T4" s="2"/>
      <c r="U4" s="2"/>
      <c r="V4" s="2"/>
      <c r="W4" s="2"/>
      <c r="X4" s="2"/>
      <c r="Y4" s="2"/>
      <c r="Z4" s="2"/>
      <c r="AA4" s="2"/>
      <c r="AB4" s="2"/>
      <c r="AC4" s="2"/>
    </row>
    <row r="5" customFormat="false" ht="15" hidden="false" customHeight="true" outlineLevel="0" collapsed="false">
      <c r="A5" s="16"/>
      <c r="B5" s="17" t="s">
        <v>32</v>
      </c>
      <c r="C5" s="17" t="s">
        <v>33</v>
      </c>
      <c r="D5" s="17" t="s">
        <v>34</v>
      </c>
      <c r="E5" s="17" t="s">
        <v>35</v>
      </c>
      <c r="F5" s="17" t="s">
        <v>36</v>
      </c>
      <c r="G5" s="17" t="s">
        <v>37</v>
      </c>
      <c r="H5" s="17" t="s">
        <v>38</v>
      </c>
      <c r="I5" s="17" t="s">
        <v>39</v>
      </c>
      <c r="J5" s="17" t="s">
        <v>40</v>
      </c>
      <c r="K5" s="17" t="s">
        <v>41</v>
      </c>
      <c r="L5" s="17" t="s">
        <v>42</v>
      </c>
      <c r="M5" s="17" t="s">
        <v>43</v>
      </c>
      <c r="N5" s="17" t="s">
        <v>44</v>
      </c>
      <c r="O5" s="2"/>
      <c r="P5" s="2"/>
      <c r="Q5" s="2"/>
      <c r="R5" s="2"/>
      <c r="S5" s="2"/>
      <c r="T5" s="2"/>
      <c r="U5" s="2"/>
      <c r="V5" s="2"/>
      <c r="W5" s="2"/>
      <c r="X5" s="2"/>
      <c r="Y5" s="2"/>
      <c r="Z5" s="2"/>
      <c r="AA5" s="2"/>
      <c r="AB5" s="2"/>
      <c r="AC5" s="2"/>
    </row>
    <row r="6" customFormat="false" ht="15" hidden="false" customHeight="true" outlineLevel="0" collapsed="false">
      <c r="A6" s="2"/>
      <c r="B6" s="18" t="s">
        <v>45</v>
      </c>
      <c r="C6" s="19" t="n">
        <v>3</v>
      </c>
      <c r="D6" s="19" t="n">
        <v>6</v>
      </c>
      <c r="E6" s="19" t="n">
        <v>7</v>
      </c>
      <c r="F6" s="19" t="n">
        <v>8</v>
      </c>
      <c r="G6" s="19" t="n">
        <v>8</v>
      </c>
      <c r="H6" s="19" t="n">
        <v>3</v>
      </c>
      <c r="I6" s="19" t="n">
        <v>4</v>
      </c>
      <c r="J6" s="19" t="n">
        <v>5</v>
      </c>
      <c r="K6" s="19" t="n">
        <v>6</v>
      </c>
      <c r="L6" s="19" t="n">
        <v>7</v>
      </c>
      <c r="M6" s="19" t="n">
        <v>8</v>
      </c>
      <c r="N6" s="19" t="n">
        <v>8</v>
      </c>
      <c r="O6" s="2"/>
      <c r="P6" s="2"/>
      <c r="Q6" s="2"/>
      <c r="R6" s="2"/>
      <c r="S6" s="2"/>
      <c r="T6" s="2"/>
      <c r="U6" s="2"/>
      <c r="V6" s="2"/>
      <c r="W6" s="2"/>
      <c r="X6" s="2"/>
      <c r="Y6" s="2"/>
      <c r="Z6" s="2"/>
      <c r="AA6" s="2"/>
      <c r="AB6" s="2"/>
      <c r="AC6" s="2"/>
    </row>
    <row r="7" customFormat="false" ht="15" hidden="false" customHeight="true" outlineLevel="0" collapsed="false">
      <c r="A7" s="2"/>
      <c r="B7" s="20" t="s">
        <v>46</v>
      </c>
      <c r="C7" s="21" t="n">
        <v>5</v>
      </c>
      <c r="D7" s="21" t="n">
        <v>6</v>
      </c>
      <c r="E7" s="21" t="n">
        <v>7</v>
      </c>
      <c r="F7" s="21" t="n">
        <v>8</v>
      </c>
      <c r="G7" s="21" t="n">
        <v>8</v>
      </c>
      <c r="H7" s="21" t="n">
        <v>3</v>
      </c>
      <c r="I7" s="21" t="n">
        <v>4</v>
      </c>
      <c r="J7" s="21" t="n">
        <v>5</v>
      </c>
      <c r="K7" s="21" t="n">
        <v>6</v>
      </c>
      <c r="L7" s="21" t="n">
        <v>7</v>
      </c>
      <c r="M7" s="21" t="n">
        <v>8</v>
      </c>
      <c r="N7" s="21" t="n">
        <v>8</v>
      </c>
      <c r="O7" s="2"/>
      <c r="P7" s="2"/>
      <c r="Q7" s="2"/>
      <c r="R7" s="2"/>
      <c r="S7" s="2"/>
      <c r="T7" s="2"/>
      <c r="U7" s="2"/>
      <c r="V7" s="2"/>
      <c r="W7" s="2"/>
      <c r="X7" s="2"/>
      <c r="Y7" s="2"/>
      <c r="Z7" s="2"/>
      <c r="AA7" s="2"/>
      <c r="AB7" s="2"/>
      <c r="AC7" s="2"/>
    </row>
    <row r="8" customFormat="false" ht="15" hidden="false" customHeight="true" outlineLevel="0" collapsed="false">
      <c r="A8" s="2"/>
      <c r="B8" s="18" t="s">
        <v>47</v>
      </c>
      <c r="C8" s="19" t="n">
        <v>9</v>
      </c>
      <c r="D8" s="19" t="n">
        <v>10</v>
      </c>
      <c r="E8" s="19" t="n">
        <v>10</v>
      </c>
      <c r="F8" s="19" t="n">
        <v>12</v>
      </c>
      <c r="G8" s="19" t="n">
        <v>11</v>
      </c>
      <c r="H8" s="19" t="n">
        <v>8</v>
      </c>
      <c r="I8" s="19" t="n">
        <v>9</v>
      </c>
      <c r="J8" s="19" t="n">
        <v>9</v>
      </c>
      <c r="K8" s="19" t="n">
        <v>11</v>
      </c>
      <c r="L8" s="19" t="n">
        <v>12</v>
      </c>
      <c r="M8" s="19" t="n">
        <v>12</v>
      </c>
      <c r="N8" s="19" t="n">
        <v>13</v>
      </c>
      <c r="O8" s="2"/>
      <c r="P8" s="2"/>
      <c r="Q8" s="2"/>
      <c r="R8" s="2"/>
      <c r="S8" s="2"/>
      <c r="T8" s="2"/>
      <c r="U8" s="2"/>
      <c r="V8" s="2"/>
      <c r="W8" s="2"/>
      <c r="X8" s="2"/>
      <c r="Y8" s="2"/>
      <c r="Z8" s="2"/>
      <c r="AA8" s="2"/>
      <c r="AB8" s="2"/>
      <c r="AC8" s="2"/>
    </row>
    <row r="9" customFormat="false" ht="15" hidden="false" customHeight="true" outlineLevel="0" collapsed="false">
      <c r="A9" s="2"/>
      <c r="B9" s="20" t="s">
        <v>48</v>
      </c>
      <c r="C9" s="22" t="s">
        <v>49</v>
      </c>
      <c r="D9" s="22" t="s">
        <v>49</v>
      </c>
      <c r="E9" s="22" t="s">
        <v>49</v>
      </c>
      <c r="F9" s="22" t="s">
        <v>49</v>
      </c>
      <c r="G9" s="22" t="s">
        <v>49</v>
      </c>
      <c r="H9" s="22" t="s">
        <v>50</v>
      </c>
      <c r="I9" s="22" t="s">
        <v>50</v>
      </c>
      <c r="J9" s="22" t="s">
        <v>50</v>
      </c>
      <c r="K9" s="22" t="s">
        <v>50</v>
      </c>
      <c r="L9" s="22" t="s">
        <v>50</v>
      </c>
      <c r="M9" s="22" t="s">
        <v>50</v>
      </c>
      <c r="N9" s="22" t="s">
        <v>50</v>
      </c>
      <c r="O9" s="2"/>
      <c r="P9" s="2"/>
      <c r="Q9" s="2"/>
      <c r="R9" s="2"/>
      <c r="S9" s="2"/>
      <c r="T9" s="2"/>
      <c r="U9" s="2"/>
      <c r="V9" s="2"/>
      <c r="W9" s="2"/>
      <c r="X9" s="2"/>
      <c r="Y9" s="2"/>
      <c r="Z9" s="2"/>
      <c r="AA9" s="2"/>
      <c r="AB9" s="2"/>
      <c r="AC9" s="2"/>
    </row>
    <row r="10" customFormat="false" ht="15" hidden="false" customHeight="true" outlineLevel="0" collapsed="false">
      <c r="A10" s="2"/>
      <c r="B10" s="18" t="s">
        <v>51</v>
      </c>
      <c r="C10" s="23" t="s">
        <v>52</v>
      </c>
      <c r="D10" s="23" t="s">
        <v>52</v>
      </c>
      <c r="E10" s="23" t="s">
        <v>52</v>
      </c>
      <c r="F10" s="24" t="s">
        <v>53</v>
      </c>
      <c r="G10" s="25" t="s">
        <v>54</v>
      </c>
      <c r="H10" s="23" t="s">
        <v>52</v>
      </c>
      <c r="I10" s="23" t="s">
        <v>52</v>
      </c>
      <c r="J10" s="23" t="s">
        <v>52</v>
      </c>
      <c r="K10" s="23" t="s">
        <v>52</v>
      </c>
      <c r="L10" s="23" t="s">
        <v>52</v>
      </c>
      <c r="M10" s="24" t="s">
        <v>53</v>
      </c>
      <c r="N10" s="25" t="s">
        <v>54</v>
      </c>
      <c r="O10" s="2"/>
      <c r="P10" s="2"/>
      <c r="Q10" s="2"/>
      <c r="R10" s="2"/>
      <c r="S10" s="2"/>
      <c r="T10" s="2"/>
      <c r="U10" s="2"/>
      <c r="V10" s="2"/>
      <c r="W10" s="2"/>
      <c r="X10" s="2"/>
      <c r="Y10" s="2"/>
      <c r="Z10" s="2"/>
      <c r="AA10" s="2"/>
      <c r="AB10" s="2"/>
      <c r="AC10" s="2"/>
    </row>
    <row r="11" customFormat="false" ht="15" hidden="false" customHeight="true" outlineLevel="0" collapsed="false">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customFormat="false" ht="15" hidden="false" customHeight="true" outlineLevel="0" collapsed="false">
      <c r="A12" s="2"/>
      <c r="B12" s="4" t="s">
        <v>55</v>
      </c>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ustomFormat="false" ht="15" hidden="false" customHeight="true" outlineLevel="0" collapsed="false">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row>
    <row r="14" customFormat="false" ht="15" hidden="false" customHeight="true" outlineLevel="0" collapsed="false">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row>
    <row r="15" customFormat="false" ht="15" hidden="false" customHeight="true" outlineLevel="0" collapsed="false">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row>
    <row r="16" customFormat="false" ht="15" hidden="false" customHeight="true" outlineLevel="0" collapsed="false">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row>
    <row r="17" customFormat="false" ht="15" hidden="false" customHeight="true" outlineLevel="0" collapsed="false">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ustomFormat="false" ht="15" hidden="false" customHeight="tru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row>
    <row r="19" customFormat="false" ht="15" hidden="false" customHeight="tru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row>
    <row r="20" customFormat="false" ht="15" hidden="false" customHeight="tru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row>
    <row r="21" customFormat="false" ht="15" hidden="false" customHeight="tru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row>
    <row r="22" customFormat="false" ht="15" hidden="false" customHeight="tru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ustomFormat="false" ht="15" hidden="false" customHeight="tru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ustomFormat="false" ht="15" hidden="false" customHeight="tru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ustomFormat="false" ht="15" hidden="false" customHeight="tru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ustomFormat="false" ht="15" hidden="false" customHeight="tru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row>
    <row r="27" customFormat="false" ht="15" hidden="false" customHeight="tru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row>
    <row r="28" customFormat="false" ht="15" hidden="false" customHeight="tru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row>
    <row r="29" customFormat="false" ht="15" hidden="false" customHeight="tru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row>
    <row r="30" customFormat="false" ht="15" hidden="false" customHeight="true" outlineLevel="0" collapsed="false">
      <c r="A30" s="2"/>
      <c r="B30" s="26"/>
      <c r="C30" s="27"/>
      <c r="D30" s="27"/>
      <c r="E30" s="27"/>
      <c r="F30" s="27"/>
      <c r="G30" s="27"/>
      <c r="H30" s="27"/>
      <c r="I30" s="27"/>
      <c r="J30" s="27"/>
      <c r="K30" s="27"/>
      <c r="L30" s="27"/>
      <c r="M30" s="27"/>
      <c r="N30" s="27"/>
      <c r="O30" s="2"/>
      <c r="P30" s="2"/>
      <c r="Q30" s="2"/>
      <c r="R30" s="2"/>
      <c r="S30" s="2"/>
      <c r="T30" s="2"/>
      <c r="U30" s="2"/>
      <c r="V30" s="2"/>
      <c r="W30" s="2"/>
      <c r="X30" s="2"/>
      <c r="Y30" s="2"/>
      <c r="Z30" s="2"/>
      <c r="AA30" s="2"/>
      <c r="AB30" s="2"/>
      <c r="AC30" s="2"/>
    </row>
    <row r="31" customFormat="false" ht="15" hidden="false" customHeight="tru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row>
    <row r="32" customFormat="false" ht="15" hidden="false" customHeight="tru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ustomFormat="false" ht="15" hidden="false" customHeight="tru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ustomFormat="false" ht="15" hidden="false" customHeight="tru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row>
    <row r="35" customFormat="false" ht="15" hidden="false" customHeight="tru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row>
    <row r="36" customFormat="false" ht="15" hidden="false" customHeight="tru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ustomFormat="false" ht="15" hidden="false" customHeight="tru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row>
    <row r="38" customFormat="false" ht="15" hidden="false" customHeight="tru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row>
    <row r="39" customFormat="false" ht="15" hidden="false" customHeight="tru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row>
    <row r="40" customFormat="false" ht="15" hidden="false" customHeight="tru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row>
    <row r="41" customFormat="false" ht="15" hidden="false" customHeight="tru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row>
    <row r="42" customFormat="false" ht="15" hidden="false" customHeight="tru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ustomFormat="false" ht="15" hidden="false" customHeight="tru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ustomFormat="false" ht="15" hidden="false" customHeight="tru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ustomFormat="false" ht="15" hidden="false" customHeight="tru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ustomFormat="false" ht="15" hidden="false" customHeight="tru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ustomFormat="false" ht="15" hidden="false" customHeight="tru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ustomFormat="false" ht="15" hidden="false" customHeight="tru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ustomFormat="false" ht="15" hidden="false" customHeight="tru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ustomFormat="false" ht="15" hidden="false" customHeight="tru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ustomFormat="false" ht="15" hidden="false" customHeight="tru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ustomFormat="false" ht="15" hidden="false" customHeight="tru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ustomFormat="false" ht="15" hidden="false" customHeight="tru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ustomFormat="false" ht="15" hidden="false" customHeight="tru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ustomFormat="false" ht="15" hidden="false" customHeight="tru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ustomFormat="false" ht="15" hidden="false" customHeight="tru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ustomFormat="false" ht="15" hidden="false" customHeight="tru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ustomFormat="false" ht="15" hidden="false" customHeight="tru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ustomFormat="false" ht="15" hidden="false" customHeight="tru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31D44"/>
    <pageSetUpPr fitToPage="false"/>
  </sheetPr>
  <dimension ref="A1:Z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9"/>
    <col collapsed="false" customWidth="true" hidden="false" outlineLevel="0" max="2" min="2" style="1" width="9"/>
    <col collapsed="false" customWidth="true" hidden="false" outlineLevel="0" max="3" min="3" style="1" width="20"/>
    <col collapsed="false" customWidth="true" hidden="false" outlineLevel="0" max="4" min="4" style="1" width="10"/>
    <col collapsed="false" customWidth="true" hidden="false" outlineLevel="0" max="5" min="5" style="1" width="6"/>
    <col collapsed="false" customWidth="true" hidden="false" outlineLevel="0" max="6" min="6" style="1" width="5"/>
    <col collapsed="false" customWidth="true" hidden="false" outlineLevel="0" max="7" min="7" style="1" width="6"/>
    <col collapsed="false" customWidth="true" hidden="false" outlineLevel="0" max="20" min="8" style="1" width="7"/>
    <col collapsed="false" customWidth="true" hidden="false" outlineLevel="0" max="21" min="21" style="1" width="14"/>
    <col collapsed="false" customWidth="true" hidden="false" outlineLevel="0" max="22" min="22" style="1" width="26"/>
    <col collapsed="false" customWidth="true" hidden="false" outlineLevel="0" max="24" min="23" style="1" width="8"/>
    <col collapsed="false" customWidth="true" hidden="false" outlineLevel="0" max="25" min="25" style="1" width="9"/>
    <col collapsed="false" customWidth="true" hidden="false" outlineLevel="0" max="26" min="26" style="1" width="8"/>
  </cols>
  <sheetData>
    <row r="1" customFormat="false" ht="19.5" hidden="false" customHeight="true" outlineLevel="0" collapsed="false">
      <c r="A1" s="14" t="s">
        <v>0</v>
      </c>
      <c r="B1" s="2"/>
      <c r="C1" s="2"/>
      <c r="D1" s="2"/>
      <c r="E1" s="2"/>
      <c r="F1" s="2"/>
      <c r="G1" s="2"/>
      <c r="H1" s="2"/>
      <c r="I1" s="2"/>
      <c r="J1" s="2"/>
      <c r="K1" s="2"/>
      <c r="L1" s="2"/>
      <c r="M1" s="2"/>
      <c r="N1" s="2"/>
      <c r="O1" s="2"/>
      <c r="P1" s="2"/>
      <c r="Q1" s="2"/>
      <c r="R1" s="2"/>
      <c r="S1" s="2"/>
      <c r="T1" s="2"/>
      <c r="U1" s="2"/>
      <c r="V1" s="2"/>
      <c r="W1" s="2"/>
      <c r="X1" s="2"/>
      <c r="Y1" s="2"/>
      <c r="Z1" s="2"/>
    </row>
    <row r="2" customFormat="false" ht="15" hidden="false" customHeight="true" outlineLevel="0" collapsed="false">
      <c r="A2" s="28" t="s">
        <v>56</v>
      </c>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15" t="s">
        <v>57</v>
      </c>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29" t="s">
        <v>58</v>
      </c>
      <c r="B4" s="29" t="s">
        <v>59</v>
      </c>
      <c r="C4" s="29" t="s">
        <v>48</v>
      </c>
      <c r="D4" s="29" t="s">
        <v>60</v>
      </c>
      <c r="E4" s="29" t="s">
        <v>61</v>
      </c>
      <c r="F4" s="29" t="s">
        <v>62</v>
      </c>
      <c r="G4" s="29" t="s">
        <v>63</v>
      </c>
      <c r="H4" s="29" t="s">
        <v>64</v>
      </c>
      <c r="I4" s="29" t="s">
        <v>65</v>
      </c>
      <c r="J4" s="29" t="s">
        <v>66</v>
      </c>
      <c r="K4" s="29" t="s">
        <v>67</v>
      </c>
      <c r="L4" s="29" t="s">
        <v>68</v>
      </c>
      <c r="M4" s="29" t="s">
        <v>69</v>
      </c>
      <c r="N4" s="29" t="s">
        <v>70</v>
      </c>
      <c r="O4" s="29" t="s">
        <v>71</v>
      </c>
      <c r="P4" s="29" t="s">
        <v>72</v>
      </c>
      <c r="Q4" s="29" t="s">
        <v>73</v>
      </c>
      <c r="R4" s="29" t="s">
        <v>74</v>
      </c>
      <c r="S4" s="29" t="s">
        <v>75</v>
      </c>
      <c r="T4" s="29" t="s">
        <v>76</v>
      </c>
      <c r="U4" s="29" t="s">
        <v>77</v>
      </c>
      <c r="V4" s="29" t="s">
        <v>51</v>
      </c>
      <c r="W4" s="29" t="s">
        <v>78</v>
      </c>
      <c r="X4" s="29" t="s">
        <v>79</v>
      </c>
      <c r="Y4" s="29" t="s">
        <v>80</v>
      </c>
      <c r="Z4" s="29" t="s">
        <v>81</v>
      </c>
    </row>
    <row r="5" customFormat="false" ht="19.5" hidden="false" customHeight="true" outlineLevel="0" collapsed="false">
      <c r="A5" s="30" t="s">
        <v>82</v>
      </c>
      <c r="B5" s="31" t="s">
        <v>83</v>
      </c>
      <c r="C5" s="32" t="s">
        <v>84</v>
      </c>
      <c r="D5" s="32" t="s">
        <v>85</v>
      </c>
      <c r="E5" s="32" t="s">
        <v>86</v>
      </c>
      <c r="F5" s="33" t="n">
        <f aca="false">IF(E5="reps",3,4)</f>
        <v>4</v>
      </c>
      <c r="G5" s="33" t="n">
        <f aca="false">IF(E5="reps",8,12)</f>
        <v>12</v>
      </c>
      <c r="H5" s="34" t="n">
        <f aca="false">F5</f>
        <v>4</v>
      </c>
      <c r="I5" s="35"/>
      <c r="J5" s="34" t="str">
        <f aca="false">IF(I5="","",IF(FALSE(),F5,MIN(G5,I5+IF(E5="s",Reglas!$C$7,Reglas!$C$6))))</f>
        <v/>
      </c>
      <c r="K5" s="35"/>
      <c r="L5" s="34" t="str">
        <f aca="false">IF(K5="","",IF(AND(K5&gt;=G5,I5&gt;=G5),F5,MIN(G5,K5+IF(E5="s",Reglas!$C$7,Reglas!$C$6))))</f>
        <v/>
      </c>
      <c r="M5" s="35"/>
      <c r="N5" s="34" t="str">
        <f aca="false">IF(M5="","",IF(AND(M5&gt;=G5,K5&gt;=G5),F5,MIN(G5,M5+IF(E5="s",Reglas!$C$7,Reglas!$C$6))))</f>
        <v/>
      </c>
      <c r="O5" s="35"/>
      <c r="P5" s="34" t="str">
        <f aca="false">IF(O5="","",IF(AND(O5&gt;=G5,M5&gt;=G5),F5,MIN(G5,O5+IF(E5="s",Reglas!$C$7,Reglas!$C$6))))</f>
        <v/>
      </c>
      <c r="Q5" s="35"/>
      <c r="R5" s="34" t="str">
        <f aca="false">IF(Q5="","",IF(AND(Q5&gt;=G5,O5&gt;=G5),F5,MIN(G5,Q5+IF(E5="s",Reglas!$C$7,Reglas!$C$6))))</f>
        <v/>
      </c>
      <c r="S5" s="35"/>
      <c r="T5" s="36" t="str">
        <f aca="false">IF(S5&lt;&gt;"",S5,IF(Q5&lt;&gt;"",Q5,IF(O5&lt;&gt;"",O5,IF(M5&lt;&gt;"",M5,IF(K5&lt;&gt;"",K5,IF(I5&lt;&gt;"",I5,""))))))</f>
        <v/>
      </c>
      <c r="U5" s="37" t="str">
        <f aca="false">IF(B5="hold final","al fallo",IF(T5="",F5&amp;" (piso)",IF(AND(T5&gt;=G5,IF(AND(S5&lt;&gt;"",TRUE()),Q5,IF(AND(Q5&lt;&gt;"",S5=""),O5,IF(AND(O5&lt;&gt;"",Q5=""),M5,IF(AND(M5&lt;&gt;"",O5=""),K5,IF(AND(K5&lt;&gt;"",M5=""),I5,0)))))&gt;=G5),F5&amp;" (piso, progresión nueva)",MIN(G5,T5+IF(E5="s",Reglas!$C$7,Reglas!$C$6)))))</f>
        <v>4 (piso)</v>
      </c>
      <c r="V5" s="38" t="str">
        <f aca="false">IF(B5="hold final","",IF(T5="","sin datos",IF(AND(T5&gt;=G5,IF(AND(S5&lt;&gt;"",TRUE()),Q5,IF(AND(Q5&lt;&gt;"",S5=""),O5,IF(AND(O5&lt;&gt;"",Q5=""),M5,IF(AND(M5&lt;&gt;"",O5=""),K5,IF(AND(K5&lt;&gt;"",M5=""),I5,0)))))&gt;=G5),"⬆ SUBIR de progresión",IF(T5&gt;=G5,"techo 1 de 2",IF(T5&lt;F5,"bajo el piso: revisar","en rango")))))</f>
        <v>sin datos</v>
      </c>
      <c r="W5" s="39" t="n">
        <f aca="false">IF(AND(I5&lt;&gt;"",H5&lt;&gt;""),IF(I5&gt;=H5,1,0),0)+IF(AND(K5&lt;&gt;"",J5&lt;&gt;""),IF(K5&gt;=J5,1,0),0)+IF(AND(M5&lt;&gt;"",L5&lt;&gt;""),IF(M5&gt;=L5,1,0),0)+IF(AND(O5&lt;&gt;"",N5&lt;&gt;""),IF(O5&gt;=N5,1,0),0)+IF(AND(Q5&lt;&gt;"",P5&lt;&gt;""),IF(Q5&gt;=P5,1,0),0)+IF(AND(S5&lt;&gt;"",R5&lt;&gt;""),IF(S5&gt;=R5,1,0),0)</f>
        <v>0</v>
      </c>
      <c r="X5" s="39" t="n">
        <f aca="false">IF(AND(I5&lt;&gt;"",H5&lt;&gt;""),1,0)+IF(AND(K5&lt;&gt;"",J5&lt;&gt;""),1,0)+IF(AND(M5&lt;&gt;"",L5&lt;&gt;""),1,0)+IF(AND(O5&lt;&gt;"",N5&lt;&gt;""),1,0)+IF(AND(Q5&lt;&gt;"",P5&lt;&gt;""),1,0)+IF(AND(S5&lt;&gt;"",R5&lt;&gt;""),1,0)</f>
        <v>0</v>
      </c>
      <c r="Y5" s="40" t="str">
        <f aca="false">IF(X5=0,"",W5/X5)</f>
        <v/>
      </c>
      <c r="Z5" s="41" t="str">
        <f aca="false">IF(X5=0,"",(IF(AND(I5&lt;&gt;"",H5&lt;&gt;""),I5-H5,0)+IF(AND(K5&lt;&gt;"",J5&lt;&gt;""),K5-J5,0)+IF(AND(M5&lt;&gt;"",L5&lt;&gt;""),M5-L5,0)+IF(AND(O5&lt;&gt;"",N5&lt;&gt;""),O5-N5,0)+IF(AND(Q5&lt;&gt;"",P5&lt;&gt;""),Q5-P5,0)+IF(AND(S5&lt;&gt;"",R5&lt;&gt;""),S5-R5,0))/X5)</f>
        <v/>
      </c>
    </row>
    <row r="6" customFormat="false" ht="19.5" hidden="false" customHeight="true" outlineLevel="0" collapsed="false">
      <c r="A6" s="42"/>
      <c r="B6" s="43" t="s">
        <v>87</v>
      </c>
      <c r="C6" s="44" t="s">
        <v>88</v>
      </c>
      <c r="D6" s="44" t="s">
        <v>85</v>
      </c>
      <c r="E6" s="44" t="s">
        <v>86</v>
      </c>
      <c r="F6" s="45" t="n">
        <f aca="false">IF(E6="reps",3,4)</f>
        <v>4</v>
      </c>
      <c r="G6" s="45" t="n">
        <f aca="false">IF(E6="reps",8,12)</f>
        <v>12</v>
      </c>
      <c r="H6" s="46" t="n">
        <f aca="false">F6</f>
        <v>4</v>
      </c>
      <c r="I6" s="47"/>
      <c r="J6" s="46" t="str">
        <f aca="false">IF(I6="","",IF(FALSE(),F6,MIN(G6,I6+IF(E6="s",Reglas!$C$7,Reglas!$C$6))))</f>
        <v/>
      </c>
      <c r="K6" s="47"/>
      <c r="L6" s="46" t="str">
        <f aca="false">IF(K6="","",IF(AND(K6&gt;=G6,I6&gt;=G6),F6,MIN(G6,K6+IF(E6="s",Reglas!$C$7,Reglas!$C$6))))</f>
        <v/>
      </c>
      <c r="M6" s="47"/>
      <c r="N6" s="46" t="str">
        <f aca="false">IF(M6="","",IF(AND(M6&gt;=G6,K6&gt;=G6),F6,MIN(G6,M6+IF(E6="s",Reglas!$C$7,Reglas!$C$6))))</f>
        <v/>
      </c>
      <c r="O6" s="47"/>
      <c r="P6" s="46" t="str">
        <f aca="false">IF(O6="","",IF(AND(O6&gt;=G6,M6&gt;=G6),F6,MIN(G6,O6+IF(E6="s",Reglas!$C$7,Reglas!$C$6))))</f>
        <v/>
      </c>
      <c r="Q6" s="47"/>
      <c r="R6" s="46" t="str">
        <f aca="false">IF(Q6="","",IF(AND(Q6&gt;=G6,O6&gt;=G6),F6,MIN(G6,Q6+IF(E6="s",Reglas!$C$7,Reglas!$C$6))))</f>
        <v/>
      </c>
      <c r="S6" s="47"/>
      <c r="T6" s="48" t="str">
        <f aca="false">IF(S6&lt;&gt;"",S6,IF(Q6&lt;&gt;"",Q6,IF(O6&lt;&gt;"",O6,IF(M6&lt;&gt;"",M6,IF(K6&lt;&gt;"",K6,IF(I6&lt;&gt;"",I6,""))))))</f>
        <v/>
      </c>
      <c r="U6" s="49" t="str">
        <f aca="false">IF(B6="hold final","al fallo",IF(T6="",F6&amp;" (piso)",IF(AND(T6&gt;=G6,IF(AND(S6&lt;&gt;"",TRUE()),Q6,IF(AND(Q6&lt;&gt;"",S6=""),O6,IF(AND(O6&lt;&gt;"",Q6=""),M6,IF(AND(M6&lt;&gt;"",O6=""),K6,IF(AND(K6&lt;&gt;"",M6=""),I6,0)))))&gt;=G6),F6&amp;" (piso, progresión nueva)",MIN(G6,T6+IF(E6="s",Reglas!$C$7,Reglas!$C$6)))))</f>
        <v>4 (piso)</v>
      </c>
      <c r="V6" s="50" t="str">
        <f aca="false">IF(B6="hold final","",IF(T6="","sin datos",IF(AND(T6&gt;=G6,IF(AND(S6&lt;&gt;"",TRUE()),Q6,IF(AND(Q6&lt;&gt;"",S6=""),O6,IF(AND(O6&lt;&gt;"",Q6=""),M6,IF(AND(M6&lt;&gt;"",O6=""),K6,IF(AND(K6&lt;&gt;"",M6=""),I6,0)))))&gt;=G6),"⬆ SUBIR de progresión",IF(T6&gt;=G6,"techo 1 de 2",IF(T6&lt;F6,"bajo el piso: revisar","en rango")))))</f>
        <v>sin datos</v>
      </c>
      <c r="W6" s="21" t="n">
        <f aca="false">IF(AND(I6&lt;&gt;"",H6&lt;&gt;""),IF(I6&gt;=H6,1,0),0)+IF(AND(K6&lt;&gt;"",J6&lt;&gt;""),IF(K6&gt;=J6,1,0),0)+IF(AND(M6&lt;&gt;"",L6&lt;&gt;""),IF(M6&gt;=L6,1,0),0)+IF(AND(O6&lt;&gt;"",N6&lt;&gt;""),IF(O6&gt;=N6,1,0),0)+IF(AND(Q6&lt;&gt;"",P6&lt;&gt;""),IF(Q6&gt;=P6,1,0),0)+IF(AND(S6&lt;&gt;"",R6&lt;&gt;""),IF(S6&gt;=R6,1,0),0)</f>
        <v>0</v>
      </c>
      <c r="X6" s="21" t="n">
        <f aca="false">IF(AND(I6&lt;&gt;"",H6&lt;&gt;""),1,0)+IF(AND(K6&lt;&gt;"",J6&lt;&gt;""),1,0)+IF(AND(M6&lt;&gt;"",L6&lt;&gt;""),1,0)+IF(AND(O6&lt;&gt;"",N6&lt;&gt;""),1,0)+IF(AND(Q6&lt;&gt;"",P6&lt;&gt;""),1,0)+IF(AND(S6&lt;&gt;"",R6&lt;&gt;""),1,0)</f>
        <v>0</v>
      </c>
      <c r="Y6" s="51" t="str">
        <f aca="false">IF(X6=0,"",W6/X6)</f>
        <v/>
      </c>
      <c r="Z6" s="52" t="str">
        <f aca="false">IF(X6=0,"",(IF(AND(I6&lt;&gt;"",H6&lt;&gt;""),I6-H6,0)+IF(AND(K6&lt;&gt;"",J6&lt;&gt;""),K6-J6,0)+IF(AND(M6&lt;&gt;"",L6&lt;&gt;""),M6-L6,0)+IF(AND(O6&lt;&gt;"",N6&lt;&gt;""),O6-N6,0)+IF(AND(Q6&lt;&gt;"",P6&lt;&gt;""),Q6-P6,0)+IF(AND(S6&lt;&gt;"",R6&lt;&gt;""),S6-R6,0))/X6)</f>
        <v/>
      </c>
    </row>
    <row r="7" customFormat="false" ht="19.5" hidden="false" customHeight="true" outlineLevel="0" collapsed="false">
      <c r="A7" s="42"/>
      <c r="B7" s="43" t="s">
        <v>89</v>
      </c>
      <c r="C7" s="44" t="s">
        <v>50</v>
      </c>
      <c r="D7" s="44" t="s">
        <v>85</v>
      </c>
      <c r="E7" s="44" t="s">
        <v>86</v>
      </c>
      <c r="F7" s="45" t="n">
        <f aca="false">IF(E7="reps",3,4)</f>
        <v>4</v>
      </c>
      <c r="G7" s="45" t="n">
        <f aca="false">IF(E7="reps",8,12)</f>
        <v>12</v>
      </c>
      <c r="H7" s="46" t="n">
        <f aca="false">F7</f>
        <v>4</v>
      </c>
      <c r="I7" s="47"/>
      <c r="J7" s="46" t="str">
        <f aca="false">IF(I7="","",IF(FALSE(),F7,MIN(G7,I7+IF(E7="s",Reglas!$C$7,Reglas!$C$6))))</f>
        <v/>
      </c>
      <c r="K7" s="47"/>
      <c r="L7" s="46" t="str">
        <f aca="false">IF(K7="","",IF(AND(K7&gt;=G7,I7&gt;=G7),F7,MIN(G7,K7+IF(E7="s",Reglas!$C$7,Reglas!$C$6))))</f>
        <v/>
      </c>
      <c r="M7" s="47"/>
      <c r="N7" s="46" t="str">
        <f aca="false">IF(M7="","",IF(AND(M7&gt;=G7,K7&gt;=G7),F7,MIN(G7,M7+IF(E7="s",Reglas!$C$7,Reglas!$C$6))))</f>
        <v/>
      </c>
      <c r="O7" s="47"/>
      <c r="P7" s="46" t="str">
        <f aca="false">IF(O7="","",IF(AND(O7&gt;=G7,M7&gt;=G7),F7,MIN(G7,O7+IF(E7="s",Reglas!$C$7,Reglas!$C$6))))</f>
        <v/>
      </c>
      <c r="Q7" s="47"/>
      <c r="R7" s="46" t="str">
        <f aca="false">IF(Q7="","",IF(AND(Q7&gt;=G7,O7&gt;=G7),F7,MIN(G7,Q7+IF(E7="s",Reglas!$C$7,Reglas!$C$6))))</f>
        <v/>
      </c>
      <c r="S7" s="47"/>
      <c r="T7" s="48" t="str">
        <f aca="false">IF(S7&lt;&gt;"",S7,IF(Q7&lt;&gt;"",Q7,IF(O7&lt;&gt;"",O7,IF(M7&lt;&gt;"",M7,IF(K7&lt;&gt;"",K7,IF(I7&lt;&gt;"",I7,""))))))</f>
        <v/>
      </c>
      <c r="U7" s="49" t="str">
        <f aca="false">IF(B7="hold final","al fallo",IF(T7="",F7&amp;" (piso)",IF(AND(T7&gt;=G7,IF(AND(S7&lt;&gt;"",TRUE()),Q7,IF(AND(Q7&lt;&gt;"",S7=""),O7,IF(AND(O7&lt;&gt;"",Q7=""),M7,IF(AND(M7&lt;&gt;"",O7=""),K7,IF(AND(K7&lt;&gt;"",M7=""),I7,0)))))&gt;=G7),F7&amp;" (piso, progresión nueva)",MIN(G7,T7+IF(E7="s",Reglas!$C$7,Reglas!$C$6)))))</f>
        <v>4 (piso)</v>
      </c>
      <c r="V7" s="50" t="str">
        <f aca="false">IF(B7="hold final","",IF(T7="","sin datos",IF(AND(T7&gt;=G7,IF(AND(S7&lt;&gt;"",TRUE()),Q7,IF(AND(Q7&lt;&gt;"",S7=""),O7,IF(AND(O7&lt;&gt;"",Q7=""),M7,IF(AND(M7&lt;&gt;"",O7=""),K7,IF(AND(K7&lt;&gt;"",M7=""),I7,0)))))&gt;=G7),"⬆ SUBIR de progresión",IF(T7&gt;=G7,"techo 1 de 2",IF(T7&lt;F7,"bajo el piso: revisar","en rango")))))</f>
        <v>sin datos</v>
      </c>
      <c r="W7" s="21" t="n">
        <f aca="false">IF(AND(I7&lt;&gt;"",H7&lt;&gt;""),IF(I7&gt;=H7,1,0),0)+IF(AND(K7&lt;&gt;"",J7&lt;&gt;""),IF(K7&gt;=J7,1,0),0)+IF(AND(M7&lt;&gt;"",L7&lt;&gt;""),IF(M7&gt;=L7,1,0),0)+IF(AND(O7&lt;&gt;"",N7&lt;&gt;""),IF(O7&gt;=N7,1,0),0)+IF(AND(Q7&lt;&gt;"",P7&lt;&gt;""),IF(Q7&gt;=P7,1,0),0)+IF(AND(S7&lt;&gt;"",R7&lt;&gt;""),IF(S7&gt;=R7,1,0),0)</f>
        <v>0</v>
      </c>
      <c r="X7" s="21" t="n">
        <f aca="false">IF(AND(I7&lt;&gt;"",H7&lt;&gt;""),1,0)+IF(AND(K7&lt;&gt;"",J7&lt;&gt;""),1,0)+IF(AND(M7&lt;&gt;"",L7&lt;&gt;""),1,0)+IF(AND(O7&lt;&gt;"",N7&lt;&gt;""),1,0)+IF(AND(Q7&lt;&gt;"",P7&lt;&gt;""),1,0)+IF(AND(S7&lt;&gt;"",R7&lt;&gt;""),1,0)</f>
        <v>0</v>
      </c>
      <c r="Y7" s="51" t="str">
        <f aca="false">IF(X7=0,"",W7/X7)</f>
        <v/>
      </c>
      <c r="Z7" s="52" t="str">
        <f aca="false">IF(X7=0,"",(IF(AND(I7&lt;&gt;"",H7&lt;&gt;""),I7-H7,0)+IF(AND(K7&lt;&gt;"",J7&lt;&gt;""),K7-J7,0)+IF(AND(M7&lt;&gt;"",L7&lt;&gt;""),M7-L7,0)+IF(AND(O7&lt;&gt;"",N7&lt;&gt;""),O7-N7,0)+IF(AND(Q7&lt;&gt;"",P7&lt;&gt;""),Q7-P7,0)+IF(AND(S7&lt;&gt;"",R7&lt;&gt;""),S7-R7,0))/X7)</f>
        <v/>
      </c>
    </row>
    <row r="8" customFormat="false" ht="19.5" hidden="false" customHeight="true" outlineLevel="0" collapsed="false">
      <c r="A8" s="42"/>
      <c r="B8" s="53" t="s">
        <v>90</v>
      </c>
      <c r="C8" s="44" t="s">
        <v>49</v>
      </c>
      <c r="D8" s="44" t="s">
        <v>85</v>
      </c>
      <c r="E8" s="44" t="s">
        <v>86</v>
      </c>
      <c r="F8" s="45" t="n">
        <f aca="false">IF(E8="reps",3,4)</f>
        <v>4</v>
      </c>
      <c r="G8" s="45" t="n">
        <f aca="false">IF(E8="reps",8,12)</f>
        <v>12</v>
      </c>
      <c r="H8" s="46" t="s">
        <v>91</v>
      </c>
      <c r="I8" s="47"/>
      <c r="J8" s="46" t="s">
        <v>91</v>
      </c>
      <c r="K8" s="47"/>
      <c r="L8" s="46" t="s">
        <v>91</v>
      </c>
      <c r="M8" s="47"/>
      <c r="N8" s="46" t="s">
        <v>91</v>
      </c>
      <c r="O8" s="47"/>
      <c r="P8" s="46" t="s">
        <v>91</v>
      </c>
      <c r="Q8" s="47"/>
      <c r="R8" s="46" t="s">
        <v>91</v>
      </c>
      <c r="S8" s="47"/>
      <c r="T8" s="48" t="str">
        <f aca="false">IF(S8&lt;&gt;"",S8,IF(Q8&lt;&gt;"",Q8,IF(O8&lt;&gt;"",O8,IF(M8&lt;&gt;"",M8,IF(K8&lt;&gt;"",K8,IF(I8&lt;&gt;"",I8,""))))))</f>
        <v/>
      </c>
      <c r="U8" s="49" t="str">
        <f aca="false">IF(B8="hold final","al fallo",IF(T8="",F8&amp;" (piso)",IF(AND(T8&gt;=G8,IF(AND(S8&lt;&gt;"",TRUE()),Q8,IF(AND(Q8&lt;&gt;"",S8=""),O8,IF(AND(O8&lt;&gt;"",Q8=""),M8,IF(AND(M8&lt;&gt;"",O8=""),K8,IF(AND(K8&lt;&gt;"",M8=""),I8,0)))))&gt;=G8),F8&amp;" (piso, progresión nueva)",MIN(G8,T8+IF(E8="s",Reglas!$C$7,Reglas!$C$6)))))</f>
        <v>al fallo</v>
      </c>
      <c r="V8" s="50" t="str">
        <f aca="false">IF(B8="hold final","",IF(T8="","sin datos",IF(AND(T8&gt;=G8,IF(AND(S8&lt;&gt;"",TRUE()),Q8,IF(AND(Q8&lt;&gt;"",S8=""),O8,IF(AND(O8&lt;&gt;"",Q8=""),M8,IF(AND(M8&lt;&gt;"",O8=""),K8,IF(AND(K8&lt;&gt;"",M8=""),I8,0)))))&gt;=G8),"⬆ SUBIR de progresión",IF(T8&gt;=G8,"techo 1 de 2",IF(T8&lt;F8,"bajo el piso: revisar","en rango")))))</f>
        <v/>
      </c>
      <c r="W8" s="54"/>
      <c r="X8" s="54"/>
      <c r="Y8" s="54"/>
      <c r="Z8" s="54"/>
    </row>
    <row r="10" customFormat="false" ht="19.5" hidden="false" customHeight="true" outlineLevel="0" collapsed="false">
      <c r="A10" s="55" t="s">
        <v>92</v>
      </c>
      <c r="B10" s="56" t="s">
        <v>83</v>
      </c>
      <c r="C10" s="32" t="s">
        <v>49</v>
      </c>
      <c r="D10" s="32" t="s">
        <v>93</v>
      </c>
      <c r="E10" s="32" t="s">
        <v>94</v>
      </c>
      <c r="F10" s="57" t="n">
        <f aca="false">IF(E10="reps",3,4)</f>
        <v>3</v>
      </c>
      <c r="G10" s="57" t="n">
        <f aca="false">IF(E10="reps",8,12)</f>
        <v>8</v>
      </c>
      <c r="H10" s="34" t="n">
        <f aca="false">F10</f>
        <v>3</v>
      </c>
      <c r="I10" s="35" t="n">
        <v>6</v>
      </c>
      <c r="J10" s="34" t="n">
        <f aca="false">IF(I10="","",IF(FALSE(),F10,MIN(G10,I10+IF(E10="s",Reglas!$C$7,Reglas!$C$6))))</f>
        <v>7</v>
      </c>
      <c r="K10" s="35" t="n">
        <v>7</v>
      </c>
      <c r="L10" s="34" t="n">
        <f aca="false">IF(K10="","",IF(AND(K10&gt;=G10,I10&gt;=G10),F10,MIN(G10,K10+IF(E10="s",Reglas!$C$7,Reglas!$C$6))))</f>
        <v>8</v>
      </c>
      <c r="M10" s="35" t="n">
        <v>8</v>
      </c>
      <c r="N10" s="34" t="n">
        <f aca="false">IF(M10="","",IF(AND(M10&gt;=G10,K10&gt;=G10),F10,MIN(G10,M10+IF(E10="s",Reglas!$C$7,Reglas!$C$6))))</f>
        <v>8</v>
      </c>
      <c r="O10" s="35" t="n">
        <v>8</v>
      </c>
      <c r="P10" s="34" t="n">
        <f aca="false">IF(O10="","",IF(AND(O10&gt;=G10,M10&gt;=G10),F10,MIN(G10,O10+IF(E10="s",Reglas!$C$7,Reglas!$C$6))))</f>
        <v>3</v>
      </c>
      <c r="Q10" s="35"/>
      <c r="R10" s="34" t="str">
        <f aca="false">IF(Q10="","",IF(AND(Q10&gt;=G10,O10&gt;=G10),F10,MIN(G10,Q10+IF(E10="s",Reglas!$C$7,Reglas!$C$6))))</f>
        <v/>
      </c>
      <c r="S10" s="35"/>
      <c r="T10" s="58" t="n">
        <f aca="false">IF(S10&lt;&gt;"",S10,IF(Q10&lt;&gt;"",Q10,IF(O10&lt;&gt;"",O10,IF(M10&lt;&gt;"",M10,IF(K10&lt;&gt;"",K10,IF(I10&lt;&gt;"",I10,""))))))</f>
        <v>8</v>
      </c>
      <c r="U10" s="59" t="str">
        <f aca="false">IF(B10="hold final","al fallo",IF(T10="",F10&amp;" (piso)",IF(AND(T10&gt;=G10,IF(AND(S10&lt;&gt;"",TRUE()),Q10,IF(AND(Q10&lt;&gt;"",S10=""),O10,IF(AND(O10&lt;&gt;"",Q10=""),M10,IF(AND(M10&lt;&gt;"",O10=""),K10,IF(AND(K10&lt;&gt;"",M10=""),I10,0)))))&gt;=G10),F10&amp;" (piso, progresión nueva)",MIN(G10,T10+IF(E10="s",Reglas!$C$7,Reglas!$C$6)))))</f>
        <v>3 (piso, progresión nueva)</v>
      </c>
      <c r="V10" s="60" t="str">
        <f aca="false">IF(B10="hold final","",IF(T10="","sin datos",IF(AND(T10&gt;=G10,IF(AND(S10&lt;&gt;"",TRUE()),Q10,IF(AND(Q10&lt;&gt;"",S10=""),O10,IF(AND(O10&lt;&gt;"",Q10=""),M10,IF(AND(M10&lt;&gt;"",O10=""),K10,IF(AND(K10&lt;&gt;"",M10=""),I10,0)))))&gt;=G10),"⬆ SUBIR de progresión",IF(T10&gt;=G10,"techo 1 de 2",IF(T10&lt;F10,"bajo el piso: revisar","en rango")))))</f>
        <v>⬆ SUBIR de progresión</v>
      </c>
      <c r="W10" s="61" t="n">
        <f aca="false">IF(AND(I10&lt;&gt;"",H10&lt;&gt;""),IF(I10&gt;=H10,1,0),0)+IF(AND(K10&lt;&gt;"",J10&lt;&gt;""),IF(K10&gt;=J10,1,0),0)+IF(AND(M10&lt;&gt;"",L10&lt;&gt;""),IF(M10&gt;=L10,1,0),0)+IF(AND(O10&lt;&gt;"",N10&lt;&gt;""),IF(O10&gt;=N10,1,0),0)+IF(AND(Q10&lt;&gt;"",P10&lt;&gt;""),IF(Q10&gt;=P10,1,0),0)+IF(AND(S10&lt;&gt;"",R10&lt;&gt;""),IF(S10&gt;=R10,1,0),0)</f>
        <v>4</v>
      </c>
      <c r="X10" s="61" t="n">
        <f aca="false">IF(AND(I10&lt;&gt;"",H10&lt;&gt;""),1,0)+IF(AND(K10&lt;&gt;"",J10&lt;&gt;""),1,0)+IF(AND(M10&lt;&gt;"",L10&lt;&gt;""),1,0)+IF(AND(O10&lt;&gt;"",N10&lt;&gt;""),1,0)+IF(AND(Q10&lt;&gt;"",P10&lt;&gt;""),1,0)+IF(AND(S10&lt;&gt;"",R10&lt;&gt;""),1,0)</f>
        <v>4</v>
      </c>
      <c r="Y10" s="62" t="n">
        <f aca="false">IF(X10=0,"",W10/X10)</f>
        <v>1</v>
      </c>
      <c r="Z10" s="63" t="n">
        <f aca="false">IF(X10=0,"",(IF(AND(I10&lt;&gt;"",H10&lt;&gt;""),I10-H10,0)+IF(AND(K10&lt;&gt;"",J10&lt;&gt;""),K10-J10,0)+IF(AND(M10&lt;&gt;"",L10&lt;&gt;""),M10-L10,0)+IF(AND(O10&lt;&gt;"",N10&lt;&gt;""),O10-N10,0)+IF(AND(Q10&lt;&gt;"",P10&lt;&gt;""),Q10-P10,0)+IF(AND(S10&lt;&gt;"",R10&lt;&gt;""),S10-R10,0))/X10)</f>
        <v>0.75</v>
      </c>
    </row>
    <row r="11" customFormat="false" ht="19.5" hidden="false" customHeight="true" outlineLevel="0" collapsed="false">
      <c r="A11" s="64"/>
      <c r="B11" s="65" t="s">
        <v>87</v>
      </c>
      <c r="C11" s="44" t="s">
        <v>49</v>
      </c>
      <c r="D11" s="44" t="s">
        <v>95</v>
      </c>
      <c r="E11" s="44" t="s">
        <v>94</v>
      </c>
      <c r="F11" s="66" t="n">
        <f aca="false">IF(E11="reps",3,4)</f>
        <v>3</v>
      </c>
      <c r="G11" s="66" t="n">
        <f aca="false">IF(E11="reps",8,12)</f>
        <v>8</v>
      </c>
      <c r="H11" s="46" t="n">
        <f aca="false">F11</f>
        <v>3</v>
      </c>
      <c r="I11" s="47"/>
      <c r="J11" s="46" t="str">
        <f aca="false">IF(I11="","",IF(FALSE(),F11,MIN(G11,I11+IF(E11="s",Reglas!$C$7,Reglas!$C$6))))</f>
        <v/>
      </c>
      <c r="K11" s="47"/>
      <c r="L11" s="46" t="str">
        <f aca="false">IF(K11="","",IF(AND(K11&gt;=G11,I11&gt;=G11),F11,MIN(G11,K11+IF(E11="s",Reglas!$C$7,Reglas!$C$6))))</f>
        <v/>
      </c>
      <c r="M11" s="47"/>
      <c r="N11" s="46" t="str">
        <f aca="false">IF(M11="","",IF(AND(M11&gt;=G11,K11&gt;=G11),F11,MIN(G11,M11+IF(E11="s",Reglas!$C$7,Reglas!$C$6))))</f>
        <v/>
      </c>
      <c r="O11" s="47"/>
      <c r="P11" s="46" t="str">
        <f aca="false">IF(O11="","",IF(AND(O11&gt;=G11,M11&gt;=G11),F11,MIN(G11,O11+IF(E11="s",Reglas!$C$7,Reglas!$C$6))))</f>
        <v/>
      </c>
      <c r="Q11" s="47"/>
      <c r="R11" s="46" t="str">
        <f aca="false">IF(Q11="","",IF(AND(Q11&gt;=G11,O11&gt;=G11),F11,MIN(G11,Q11+IF(E11="s",Reglas!$C$7,Reglas!$C$6))))</f>
        <v/>
      </c>
      <c r="S11" s="47"/>
      <c r="T11" s="67" t="str">
        <f aca="false">IF(S11&lt;&gt;"",S11,IF(Q11&lt;&gt;"",Q11,IF(O11&lt;&gt;"",O11,IF(M11&lt;&gt;"",M11,IF(K11&lt;&gt;"",K11,IF(I11&lt;&gt;"",I11,""))))))</f>
        <v/>
      </c>
      <c r="U11" s="68" t="str">
        <f aca="false">IF(B11="hold final","al fallo",IF(T11="",F11&amp;" (piso)",IF(AND(T11&gt;=G11,IF(AND(S11&lt;&gt;"",TRUE()),Q11,IF(AND(Q11&lt;&gt;"",S11=""),O11,IF(AND(O11&lt;&gt;"",Q11=""),M11,IF(AND(M11&lt;&gt;"",O11=""),K11,IF(AND(K11&lt;&gt;"",M11=""),I11,0)))))&gt;=G11),F11&amp;" (piso, progresión nueva)",MIN(G11,T11+IF(E11="s",Reglas!$C$7,Reglas!$C$6)))))</f>
        <v>3 (piso)</v>
      </c>
      <c r="V11" s="69" t="str">
        <f aca="false">IF(B11="hold final","",IF(T11="","sin datos",IF(AND(T11&gt;=G11,IF(AND(S11&lt;&gt;"",TRUE()),Q11,IF(AND(Q11&lt;&gt;"",S11=""),O11,IF(AND(O11&lt;&gt;"",Q11=""),M11,IF(AND(M11&lt;&gt;"",O11=""),K11,IF(AND(K11&lt;&gt;"",M11=""),I11,0)))))&gt;=G11),"⬆ SUBIR de progresión",IF(T11&gt;=G11,"techo 1 de 2",IF(T11&lt;F11,"bajo el piso: revisar","en rango")))))</f>
        <v>sin datos</v>
      </c>
      <c r="W11" s="19" t="n">
        <f aca="false">IF(AND(I11&lt;&gt;"",H11&lt;&gt;""),IF(I11&gt;=H11,1,0),0)+IF(AND(K11&lt;&gt;"",J11&lt;&gt;""),IF(K11&gt;=J11,1,0),0)+IF(AND(M11&lt;&gt;"",L11&lt;&gt;""),IF(M11&gt;=L11,1,0),0)+IF(AND(O11&lt;&gt;"",N11&lt;&gt;""),IF(O11&gt;=N11,1,0),0)+IF(AND(Q11&lt;&gt;"",P11&lt;&gt;""),IF(Q11&gt;=P11,1,0),0)+IF(AND(S11&lt;&gt;"",R11&lt;&gt;""),IF(S11&gt;=R11,1,0),0)</f>
        <v>0</v>
      </c>
      <c r="X11" s="19" t="n">
        <f aca="false">IF(AND(I11&lt;&gt;"",H11&lt;&gt;""),1,0)+IF(AND(K11&lt;&gt;"",J11&lt;&gt;""),1,0)+IF(AND(M11&lt;&gt;"",L11&lt;&gt;""),1,0)+IF(AND(O11&lt;&gt;"",N11&lt;&gt;""),1,0)+IF(AND(Q11&lt;&gt;"",P11&lt;&gt;""),1,0)+IF(AND(S11&lt;&gt;"",R11&lt;&gt;""),1,0)</f>
        <v>0</v>
      </c>
      <c r="Y11" s="70" t="str">
        <f aca="false">IF(X11=0,"",W11/X11)</f>
        <v/>
      </c>
      <c r="Z11" s="71" t="str">
        <f aca="false">IF(X11=0,"",(IF(AND(I11&lt;&gt;"",H11&lt;&gt;""),I11-H11,0)+IF(AND(K11&lt;&gt;"",J11&lt;&gt;""),K11-J11,0)+IF(AND(M11&lt;&gt;"",L11&lt;&gt;""),M11-L11,0)+IF(AND(O11&lt;&gt;"",N11&lt;&gt;""),O11-N11,0)+IF(AND(Q11&lt;&gt;"",P11&lt;&gt;""),Q11-P11,0)+IF(AND(S11&lt;&gt;"",R11&lt;&gt;""),S11-R11,0))/X11)</f>
        <v/>
      </c>
    </row>
    <row r="12" customFormat="false" ht="19.5" hidden="false" customHeight="true" outlineLevel="0" collapsed="false">
      <c r="A12" s="64"/>
      <c r="B12" s="65" t="s">
        <v>89</v>
      </c>
      <c r="C12" s="44" t="s">
        <v>96</v>
      </c>
      <c r="D12" s="44" t="s">
        <v>93</v>
      </c>
      <c r="E12" s="44" t="s">
        <v>94</v>
      </c>
      <c r="F12" s="66" t="n">
        <f aca="false">IF(E12="reps",3,4)</f>
        <v>3</v>
      </c>
      <c r="G12" s="66" t="n">
        <f aca="false">IF(E12="reps",8,12)</f>
        <v>8</v>
      </c>
      <c r="H12" s="46" t="n">
        <f aca="false">F12</f>
        <v>3</v>
      </c>
      <c r="I12" s="47"/>
      <c r="J12" s="46" t="str">
        <f aca="false">IF(I12="","",IF(FALSE(),F12,MIN(G12,I12+IF(E12="s",Reglas!$C$7,Reglas!$C$6))))</f>
        <v/>
      </c>
      <c r="K12" s="47"/>
      <c r="L12" s="46" t="str">
        <f aca="false">IF(K12="","",IF(AND(K12&gt;=G12,I12&gt;=G12),F12,MIN(G12,K12+IF(E12="s",Reglas!$C$7,Reglas!$C$6))))</f>
        <v/>
      </c>
      <c r="M12" s="47"/>
      <c r="N12" s="46" t="str">
        <f aca="false">IF(M12="","",IF(AND(M12&gt;=G12,K12&gt;=G12),F12,MIN(G12,M12+IF(E12="s",Reglas!$C$7,Reglas!$C$6))))</f>
        <v/>
      </c>
      <c r="O12" s="47"/>
      <c r="P12" s="46" t="str">
        <f aca="false">IF(O12="","",IF(AND(O12&gt;=G12,M12&gt;=G12),F12,MIN(G12,O12+IF(E12="s",Reglas!$C$7,Reglas!$C$6))))</f>
        <v/>
      </c>
      <c r="Q12" s="47"/>
      <c r="R12" s="46" t="str">
        <f aca="false">IF(Q12="","",IF(AND(Q12&gt;=G12,O12&gt;=G12),F12,MIN(G12,Q12+IF(E12="s",Reglas!$C$7,Reglas!$C$6))))</f>
        <v/>
      </c>
      <c r="S12" s="47"/>
      <c r="T12" s="67" t="str">
        <f aca="false">IF(S12&lt;&gt;"",S12,IF(Q12&lt;&gt;"",Q12,IF(O12&lt;&gt;"",O12,IF(M12&lt;&gt;"",M12,IF(K12&lt;&gt;"",K12,IF(I12&lt;&gt;"",I12,""))))))</f>
        <v/>
      </c>
      <c r="U12" s="68" t="str">
        <f aca="false">IF(B12="hold final","al fallo",IF(T12="",F12&amp;" (piso)",IF(AND(T12&gt;=G12,IF(AND(S12&lt;&gt;"",TRUE()),Q12,IF(AND(Q12&lt;&gt;"",S12=""),O12,IF(AND(O12&lt;&gt;"",Q12=""),M12,IF(AND(M12&lt;&gt;"",O12=""),K12,IF(AND(K12&lt;&gt;"",M12=""),I12,0)))))&gt;=G12),F12&amp;" (piso, progresión nueva)",MIN(G12,T12+IF(E12="s",Reglas!$C$7,Reglas!$C$6)))))</f>
        <v>3 (piso)</v>
      </c>
      <c r="V12" s="69" t="str">
        <f aca="false">IF(B12="hold final","",IF(T12="","sin datos",IF(AND(T12&gt;=G12,IF(AND(S12&lt;&gt;"",TRUE()),Q12,IF(AND(Q12&lt;&gt;"",S12=""),O12,IF(AND(O12&lt;&gt;"",Q12=""),M12,IF(AND(M12&lt;&gt;"",O12=""),K12,IF(AND(K12&lt;&gt;"",M12=""),I12,0)))))&gt;=G12),"⬆ SUBIR de progresión",IF(T12&gt;=G12,"techo 1 de 2",IF(T12&lt;F12,"bajo el piso: revisar","en rango")))))</f>
        <v>sin datos</v>
      </c>
      <c r="W12" s="19" t="n">
        <f aca="false">IF(AND(I12&lt;&gt;"",H12&lt;&gt;""),IF(I12&gt;=H12,1,0),0)+IF(AND(K12&lt;&gt;"",J12&lt;&gt;""),IF(K12&gt;=J12,1,0),0)+IF(AND(M12&lt;&gt;"",L12&lt;&gt;""),IF(M12&gt;=L12,1,0),0)+IF(AND(O12&lt;&gt;"",N12&lt;&gt;""),IF(O12&gt;=N12,1,0),0)+IF(AND(Q12&lt;&gt;"",P12&lt;&gt;""),IF(Q12&gt;=P12,1,0),0)+IF(AND(S12&lt;&gt;"",R12&lt;&gt;""),IF(S12&gt;=R12,1,0),0)</f>
        <v>0</v>
      </c>
      <c r="X12" s="19" t="n">
        <f aca="false">IF(AND(I12&lt;&gt;"",H12&lt;&gt;""),1,0)+IF(AND(K12&lt;&gt;"",J12&lt;&gt;""),1,0)+IF(AND(M12&lt;&gt;"",L12&lt;&gt;""),1,0)+IF(AND(O12&lt;&gt;"",N12&lt;&gt;""),1,0)+IF(AND(Q12&lt;&gt;"",P12&lt;&gt;""),1,0)+IF(AND(S12&lt;&gt;"",R12&lt;&gt;""),1,0)</f>
        <v>0</v>
      </c>
      <c r="Y12" s="70" t="str">
        <f aca="false">IF(X12=0,"",W12/X12)</f>
        <v/>
      </c>
      <c r="Z12" s="71" t="str">
        <f aca="false">IF(X12=0,"",(IF(AND(I12&lt;&gt;"",H12&lt;&gt;""),I12-H12,0)+IF(AND(K12&lt;&gt;"",J12&lt;&gt;""),K12-J12,0)+IF(AND(M12&lt;&gt;"",L12&lt;&gt;""),M12-L12,0)+IF(AND(O12&lt;&gt;"",N12&lt;&gt;""),O12-N12,0)+IF(AND(Q12&lt;&gt;"",P12&lt;&gt;""),Q12-P12,0)+IF(AND(S12&lt;&gt;"",R12&lt;&gt;""),S12-R12,0))/X12)</f>
        <v/>
      </c>
    </row>
    <row r="13" customFormat="false" ht="19.5" hidden="false" customHeight="true" outlineLevel="0" collapsed="false">
      <c r="A13" s="64"/>
      <c r="B13" s="72" t="s">
        <v>90</v>
      </c>
      <c r="C13" s="44" t="s">
        <v>96</v>
      </c>
      <c r="D13" s="44" t="s">
        <v>85</v>
      </c>
      <c r="E13" s="44" t="s">
        <v>86</v>
      </c>
      <c r="F13" s="66" t="n">
        <f aca="false">IF(E13="reps",3,4)</f>
        <v>4</v>
      </c>
      <c r="G13" s="66" t="n">
        <f aca="false">IF(E13="reps",8,12)</f>
        <v>12</v>
      </c>
      <c r="H13" s="46" t="s">
        <v>91</v>
      </c>
      <c r="I13" s="47"/>
      <c r="J13" s="46" t="s">
        <v>91</v>
      </c>
      <c r="K13" s="47"/>
      <c r="L13" s="46" t="s">
        <v>91</v>
      </c>
      <c r="M13" s="47"/>
      <c r="N13" s="46" t="s">
        <v>91</v>
      </c>
      <c r="O13" s="47"/>
      <c r="P13" s="46" t="s">
        <v>91</v>
      </c>
      <c r="Q13" s="47"/>
      <c r="R13" s="46" t="s">
        <v>91</v>
      </c>
      <c r="S13" s="47"/>
      <c r="T13" s="67" t="str">
        <f aca="false">IF(S13&lt;&gt;"",S13,IF(Q13&lt;&gt;"",Q13,IF(O13&lt;&gt;"",O13,IF(M13&lt;&gt;"",M13,IF(K13&lt;&gt;"",K13,IF(I13&lt;&gt;"",I13,""))))))</f>
        <v/>
      </c>
      <c r="U13" s="68" t="str">
        <f aca="false">IF(B13="hold final","al fallo",IF(T13="",F13&amp;" (piso)",IF(AND(T13&gt;=G13,IF(AND(S13&lt;&gt;"",TRUE()),Q13,IF(AND(Q13&lt;&gt;"",S13=""),O13,IF(AND(O13&lt;&gt;"",Q13=""),M13,IF(AND(M13&lt;&gt;"",O13=""),K13,IF(AND(K13&lt;&gt;"",M13=""),I13,0)))))&gt;=G13),F13&amp;" (piso, progresión nueva)",MIN(G13,T13+IF(E13="s",Reglas!$C$7,Reglas!$C$6)))))</f>
        <v>al fallo</v>
      </c>
      <c r="V13" s="69" t="str">
        <f aca="false">IF(B13="hold final","",IF(T13="","sin datos",IF(AND(T13&gt;=G13,IF(AND(S13&lt;&gt;"",TRUE()),Q13,IF(AND(Q13&lt;&gt;"",S13=""),O13,IF(AND(O13&lt;&gt;"",Q13=""),M13,IF(AND(M13&lt;&gt;"",O13=""),K13,IF(AND(K13&lt;&gt;"",M13=""),I13,0)))))&gt;=G13),"⬆ SUBIR de progresión",IF(T13&gt;=G13,"techo 1 de 2",IF(T13&lt;F13,"bajo el piso: revisar","en rango")))))</f>
        <v/>
      </c>
      <c r="W13" s="73"/>
      <c r="X13" s="73"/>
      <c r="Y13" s="73"/>
      <c r="Z13" s="73"/>
    </row>
    <row r="15" customFormat="false" ht="19.5" hidden="false" customHeight="true" outlineLevel="0" collapsed="false">
      <c r="A15" s="30" t="s">
        <v>97</v>
      </c>
      <c r="B15" s="31" t="s">
        <v>83</v>
      </c>
      <c r="C15" s="32" t="s">
        <v>98</v>
      </c>
      <c r="D15" s="32" t="s">
        <v>93</v>
      </c>
      <c r="E15" s="32" t="s">
        <v>94</v>
      </c>
      <c r="F15" s="33" t="n">
        <f aca="false">IF(E15="reps",3,4)</f>
        <v>3</v>
      </c>
      <c r="G15" s="33" t="n">
        <f aca="false">IF(E15="reps",8,12)</f>
        <v>8</v>
      </c>
      <c r="H15" s="34" t="n">
        <f aca="false">F15</f>
        <v>3</v>
      </c>
      <c r="I15" s="35"/>
      <c r="J15" s="34" t="str">
        <f aca="false">IF(I15="","",IF(FALSE(),F15,MIN(G15,I15+IF(E15="s",Reglas!$C$7,Reglas!$C$6))))</f>
        <v/>
      </c>
      <c r="K15" s="35"/>
      <c r="L15" s="34" t="str">
        <f aca="false">IF(K15="","",IF(AND(K15&gt;=G15,I15&gt;=G15),F15,MIN(G15,K15+IF(E15="s",Reglas!$C$7,Reglas!$C$6))))</f>
        <v/>
      </c>
      <c r="M15" s="35"/>
      <c r="N15" s="34" t="str">
        <f aca="false">IF(M15="","",IF(AND(M15&gt;=G15,K15&gt;=G15),F15,MIN(G15,M15+IF(E15="s",Reglas!$C$7,Reglas!$C$6))))</f>
        <v/>
      </c>
      <c r="O15" s="35"/>
      <c r="P15" s="34" t="str">
        <f aca="false">IF(O15="","",IF(AND(O15&gt;=G15,M15&gt;=G15),F15,MIN(G15,O15+IF(E15="s",Reglas!$C$7,Reglas!$C$6))))</f>
        <v/>
      </c>
      <c r="Q15" s="35"/>
      <c r="R15" s="34" t="str">
        <f aca="false">IF(Q15="","",IF(AND(Q15&gt;=G15,O15&gt;=G15),F15,MIN(G15,Q15+IF(E15="s",Reglas!$C$7,Reglas!$C$6))))</f>
        <v/>
      </c>
      <c r="S15" s="35"/>
      <c r="T15" s="36" t="str">
        <f aca="false">IF(S15&lt;&gt;"",S15,IF(Q15&lt;&gt;"",Q15,IF(O15&lt;&gt;"",O15,IF(M15&lt;&gt;"",M15,IF(K15&lt;&gt;"",K15,IF(I15&lt;&gt;"",I15,""))))))</f>
        <v/>
      </c>
      <c r="U15" s="37" t="str">
        <f aca="false">IF(B15="hold final","al fallo",IF(T15="",F15&amp;" (piso)",IF(AND(T15&gt;=G15,IF(AND(S15&lt;&gt;"",TRUE()),Q15,IF(AND(Q15&lt;&gt;"",S15=""),O15,IF(AND(O15&lt;&gt;"",Q15=""),M15,IF(AND(M15&lt;&gt;"",O15=""),K15,IF(AND(K15&lt;&gt;"",M15=""),I15,0)))))&gt;=G15),F15&amp;" (piso, progresión nueva)",MIN(G15,T15+IF(E15="s",Reglas!$C$7,Reglas!$C$6)))))</f>
        <v>3 (piso)</v>
      </c>
      <c r="V15" s="38" t="str">
        <f aca="false">IF(B15="hold final","",IF(T15="","sin datos",IF(AND(T15&gt;=G15,IF(AND(S15&lt;&gt;"",TRUE()),Q15,IF(AND(Q15&lt;&gt;"",S15=""),O15,IF(AND(O15&lt;&gt;"",Q15=""),M15,IF(AND(M15&lt;&gt;"",O15=""),K15,IF(AND(K15&lt;&gt;"",M15=""),I15,0)))))&gt;=G15),"⬆ SUBIR de progresión",IF(T15&gt;=G15,"techo 1 de 2",IF(T15&lt;F15,"bajo el piso: revisar","en rango")))))</f>
        <v>sin datos</v>
      </c>
      <c r="W15" s="39" t="n">
        <f aca="false">IF(AND(I15&lt;&gt;"",H15&lt;&gt;""),IF(I15&gt;=H15,1,0),0)+IF(AND(K15&lt;&gt;"",J15&lt;&gt;""),IF(K15&gt;=J15,1,0),0)+IF(AND(M15&lt;&gt;"",L15&lt;&gt;""),IF(M15&gt;=L15,1,0),0)+IF(AND(O15&lt;&gt;"",N15&lt;&gt;""),IF(O15&gt;=N15,1,0),0)+IF(AND(Q15&lt;&gt;"",P15&lt;&gt;""),IF(Q15&gt;=P15,1,0),0)+IF(AND(S15&lt;&gt;"",R15&lt;&gt;""),IF(S15&gt;=R15,1,0),0)</f>
        <v>0</v>
      </c>
      <c r="X15" s="39" t="n">
        <f aca="false">IF(AND(I15&lt;&gt;"",H15&lt;&gt;""),1,0)+IF(AND(K15&lt;&gt;"",J15&lt;&gt;""),1,0)+IF(AND(M15&lt;&gt;"",L15&lt;&gt;""),1,0)+IF(AND(O15&lt;&gt;"",N15&lt;&gt;""),1,0)+IF(AND(Q15&lt;&gt;"",P15&lt;&gt;""),1,0)+IF(AND(S15&lt;&gt;"",R15&lt;&gt;""),1,0)</f>
        <v>0</v>
      </c>
      <c r="Y15" s="40" t="str">
        <f aca="false">IF(X15=0,"",W15/X15)</f>
        <v/>
      </c>
      <c r="Z15" s="41" t="str">
        <f aca="false">IF(X15=0,"",(IF(AND(I15&lt;&gt;"",H15&lt;&gt;""),I15-H15,0)+IF(AND(K15&lt;&gt;"",J15&lt;&gt;""),K15-J15,0)+IF(AND(M15&lt;&gt;"",L15&lt;&gt;""),M15-L15,0)+IF(AND(O15&lt;&gt;"",N15&lt;&gt;""),O15-N15,0)+IF(AND(Q15&lt;&gt;"",P15&lt;&gt;""),Q15-P15,0)+IF(AND(S15&lt;&gt;"",R15&lt;&gt;""),S15-R15,0))/X15)</f>
        <v/>
      </c>
    </row>
    <row r="16" customFormat="false" ht="19.5" hidden="false" customHeight="true" outlineLevel="0" collapsed="false">
      <c r="A16" s="42"/>
      <c r="B16" s="43" t="s">
        <v>87</v>
      </c>
      <c r="C16" s="44" t="s">
        <v>98</v>
      </c>
      <c r="D16" s="44" t="s">
        <v>95</v>
      </c>
      <c r="E16" s="44" t="s">
        <v>94</v>
      </c>
      <c r="F16" s="45" t="n">
        <f aca="false">IF(E16="reps",3,4)</f>
        <v>3</v>
      </c>
      <c r="G16" s="45" t="n">
        <f aca="false">IF(E16="reps",8,12)</f>
        <v>8</v>
      </c>
      <c r="H16" s="46" t="n">
        <f aca="false">F16</f>
        <v>3</v>
      </c>
      <c r="I16" s="47"/>
      <c r="J16" s="46" t="str">
        <f aca="false">IF(I16="","",IF(FALSE(),F16,MIN(G16,I16+IF(E16="s",Reglas!$C$7,Reglas!$C$6))))</f>
        <v/>
      </c>
      <c r="K16" s="47"/>
      <c r="L16" s="46" t="str">
        <f aca="false">IF(K16="","",IF(AND(K16&gt;=G16,I16&gt;=G16),F16,MIN(G16,K16+IF(E16="s",Reglas!$C$7,Reglas!$C$6))))</f>
        <v/>
      </c>
      <c r="M16" s="47"/>
      <c r="N16" s="46" t="str">
        <f aca="false">IF(M16="","",IF(AND(M16&gt;=G16,K16&gt;=G16),F16,MIN(G16,M16+IF(E16="s",Reglas!$C$7,Reglas!$C$6))))</f>
        <v/>
      </c>
      <c r="O16" s="47"/>
      <c r="P16" s="46" t="str">
        <f aca="false">IF(O16="","",IF(AND(O16&gt;=G16,M16&gt;=G16),F16,MIN(G16,O16+IF(E16="s",Reglas!$C$7,Reglas!$C$6))))</f>
        <v/>
      </c>
      <c r="Q16" s="47"/>
      <c r="R16" s="46" t="str">
        <f aca="false">IF(Q16="","",IF(AND(Q16&gt;=G16,O16&gt;=G16),F16,MIN(G16,Q16+IF(E16="s",Reglas!$C$7,Reglas!$C$6))))</f>
        <v/>
      </c>
      <c r="S16" s="47"/>
      <c r="T16" s="48" t="str">
        <f aca="false">IF(S16&lt;&gt;"",S16,IF(Q16&lt;&gt;"",Q16,IF(O16&lt;&gt;"",O16,IF(M16&lt;&gt;"",M16,IF(K16&lt;&gt;"",K16,IF(I16&lt;&gt;"",I16,""))))))</f>
        <v/>
      </c>
      <c r="U16" s="49" t="str">
        <f aca="false">IF(B16="hold final","al fallo",IF(T16="",F16&amp;" (piso)",IF(AND(T16&gt;=G16,IF(AND(S16&lt;&gt;"",TRUE()),Q16,IF(AND(Q16&lt;&gt;"",S16=""),O16,IF(AND(O16&lt;&gt;"",Q16=""),M16,IF(AND(M16&lt;&gt;"",O16=""),K16,IF(AND(K16&lt;&gt;"",M16=""),I16,0)))))&gt;=G16),F16&amp;" (piso, progresión nueva)",MIN(G16,T16+IF(E16="s",Reglas!$C$7,Reglas!$C$6)))))</f>
        <v>3 (piso)</v>
      </c>
      <c r="V16" s="50" t="str">
        <f aca="false">IF(B16="hold final","",IF(T16="","sin datos",IF(AND(T16&gt;=G16,IF(AND(S16&lt;&gt;"",TRUE()),Q16,IF(AND(Q16&lt;&gt;"",S16=""),O16,IF(AND(O16&lt;&gt;"",Q16=""),M16,IF(AND(M16&lt;&gt;"",O16=""),K16,IF(AND(K16&lt;&gt;"",M16=""),I16,0)))))&gt;=G16),"⬆ SUBIR de progresión",IF(T16&gt;=G16,"techo 1 de 2",IF(T16&lt;F16,"bajo el piso: revisar","en rango")))))</f>
        <v>sin datos</v>
      </c>
      <c r="W16" s="21" t="n">
        <f aca="false">IF(AND(I16&lt;&gt;"",H16&lt;&gt;""),IF(I16&gt;=H16,1,0),0)+IF(AND(K16&lt;&gt;"",J16&lt;&gt;""),IF(K16&gt;=J16,1,0),0)+IF(AND(M16&lt;&gt;"",L16&lt;&gt;""),IF(M16&gt;=L16,1,0),0)+IF(AND(O16&lt;&gt;"",N16&lt;&gt;""),IF(O16&gt;=N16,1,0),0)+IF(AND(Q16&lt;&gt;"",P16&lt;&gt;""),IF(Q16&gt;=P16,1,0),0)+IF(AND(S16&lt;&gt;"",R16&lt;&gt;""),IF(S16&gt;=R16,1,0),0)</f>
        <v>0</v>
      </c>
      <c r="X16" s="21" t="n">
        <f aca="false">IF(AND(I16&lt;&gt;"",H16&lt;&gt;""),1,0)+IF(AND(K16&lt;&gt;"",J16&lt;&gt;""),1,0)+IF(AND(M16&lt;&gt;"",L16&lt;&gt;""),1,0)+IF(AND(O16&lt;&gt;"",N16&lt;&gt;""),1,0)+IF(AND(Q16&lt;&gt;"",P16&lt;&gt;""),1,0)+IF(AND(S16&lt;&gt;"",R16&lt;&gt;""),1,0)</f>
        <v>0</v>
      </c>
      <c r="Y16" s="51" t="str">
        <f aca="false">IF(X16=0,"",W16/X16)</f>
        <v/>
      </c>
      <c r="Z16" s="52" t="str">
        <f aca="false">IF(X16=0,"",(IF(AND(I16&lt;&gt;"",H16&lt;&gt;""),I16-H16,0)+IF(AND(K16&lt;&gt;"",J16&lt;&gt;""),K16-J16,0)+IF(AND(M16&lt;&gt;"",L16&lt;&gt;""),M16-L16,0)+IF(AND(O16&lt;&gt;"",N16&lt;&gt;""),O16-N16,0)+IF(AND(Q16&lt;&gt;"",P16&lt;&gt;""),Q16-P16,0)+IF(AND(S16&lt;&gt;"",R16&lt;&gt;""),S16-R16,0))/X16)</f>
        <v/>
      </c>
    </row>
    <row r="17" customFormat="false" ht="19.5" hidden="false" customHeight="true" outlineLevel="0" collapsed="false">
      <c r="A17" s="42"/>
      <c r="B17" s="43" t="s">
        <v>89</v>
      </c>
      <c r="C17" s="44" t="s">
        <v>99</v>
      </c>
      <c r="D17" s="44" t="s">
        <v>93</v>
      </c>
      <c r="E17" s="44" t="s">
        <v>94</v>
      </c>
      <c r="F17" s="45" t="n">
        <f aca="false">IF(E17="reps",3,4)</f>
        <v>3</v>
      </c>
      <c r="G17" s="45" t="n">
        <f aca="false">IF(E17="reps",8,12)</f>
        <v>8</v>
      </c>
      <c r="H17" s="46" t="n">
        <f aca="false">F17</f>
        <v>3</v>
      </c>
      <c r="I17" s="47"/>
      <c r="J17" s="46" t="str">
        <f aca="false">IF(I17="","",IF(FALSE(),F17,MIN(G17,I17+IF(E17="s",Reglas!$C$7,Reglas!$C$6))))</f>
        <v/>
      </c>
      <c r="K17" s="47"/>
      <c r="L17" s="46" t="str">
        <f aca="false">IF(K17="","",IF(AND(K17&gt;=G17,I17&gt;=G17),F17,MIN(G17,K17+IF(E17="s",Reglas!$C$7,Reglas!$C$6))))</f>
        <v/>
      </c>
      <c r="M17" s="47"/>
      <c r="N17" s="46" t="str">
        <f aca="false">IF(M17="","",IF(AND(M17&gt;=G17,K17&gt;=G17),F17,MIN(G17,M17+IF(E17="s",Reglas!$C$7,Reglas!$C$6))))</f>
        <v/>
      </c>
      <c r="O17" s="47"/>
      <c r="P17" s="46" t="str">
        <f aca="false">IF(O17="","",IF(AND(O17&gt;=G17,M17&gt;=G17),F17,MIN(G17,O17+IF(E17="s",Reglas!$C$7,Reglas!$C$6))))</f>
        <v/>
      </c>
      <c r="Q17" s="47"/>
      <c r="R17" s="46" t="str">
        <f aca="false">IF(Q17="","",IF(AND(Q17&gt;=G17,O17&gt;=G17),F17,MIN(G17,Q17+IF(E17="s",Reglas!$C$7,Reglas!$C$6))))</f>
        <v/>
      </c>
      <c r="S17" s="47"/>
      <c r="T17" s="48" t="str">
        <f aca="false">IF(S17&lt;&gt;"",S17,IF(Q17&lt;&gt;"",Q17,IF(O17&lt;&gt;"",O17,IF(M17&lt;&gt;"",M17,IF(K17&lt;&gt;"",K17,IF(I17&lt;&gt;"",I17,""))))))</f>
        <v/>
      </c>
      <c r="U17" s="49" t="str">
        <f aca="false">IF(B17="hold final","al fallo",IF(T17="",F17&amp;" (piso)",IF(AND(T17&gt;=G17,IF(AND(S17&lt;&gt;"",TRUE()),Q17,IF(AND(Q17&lt;&gt;"",S17=""),O17,IF(AND(O17&lt;&gt;"",Q17=""),M17,IF(AND(M17&lt;&gt;"",O17=""),K17,IF(AND(K17&lt;&gt;"",M17=""),I17,0)))))&gt;=G17),F17&amp;" (piso, progresión nueva)",MIN(G17,T17+IF(E17="s",Reglas!$C$7,Reglas!$C$6)))))</f>
        <v>3 (piso)</v>
      </c>
      <c r="V17" s="50" t="str">
        <f aca="false">IF(B17="hold final","",IF(T17="","sin datos",IF(AND(T17&gt;=G17,IF(AND(S17&lt;&gt;"",TRUE()),Q17,IF(AND(Q17&lt;&gt;"",S17=""),O17,IF(AND(O17&lt;&gt;"",Q17=""),M17,IF(AND(M17&lt;&gt;"",O17=""),K17,IF(AND(K17&lt;&gt;"",M17=""),I17,0)))))&gt;=G17),"⬆ SUBIR de progresión",IF(T17&gt;=G17,"techo 1 de 2",IF(T17&lt;F17,"bajo el piso: revisar","en rango")))))</f>
        <v>sin datos</v>
      </c>
      <c r="W17" s="21" t="n">
        <f aca="false">IF(AND(I17&lt;&gt;"",H17&lt;&gt;""),IF(I17&gt;=H17,1,0),0)+IF(AND(K17&lt;&gt;"",J17&lt;&gt;""),IF(K17&gt;=J17,1,0),0)+IF(AND(M17&lt;&gt;"",L17&lt;&gt;""),IF(M17&gt;=L17,1,0),0)+IF(AND(O17&lt;&gt;"",N17&lt;&gt;""),IF(O17&gt;=N17,1,0),0)+IF(AND(Q17&lt;&gt;"",P17&lt;&gt;""),IF(Q17&gt;=P17,1,0),0)+IF(AND(S17&lt;&gt;"",R17&lt;&gt;""),IF(S17&gt;=R17,1,0),0)</f>
        <v>0</v>
      </c>
      <c r="X17" s="21" t="n">
        <f aca="false">IF(AND(I17&lt;&gt;"",H17&lt;&gt;""),1,0)+IF(AND(K17&lt;&gt;"",J17&lt;&gt;""),1,0)+IF(AND(M17&lt;&gt;"",L17&lt;&gt;""),1,0)+IF(AND(O17&lt;&gt;"",N17&lt;&gt;""),1,0)+IF(AND(Q17&lt;&gt;"",P17&lt;&gt;""),1,0)+IF(AND(S17&lt;&gt;"",R17&lt;&gt;""),1,0)</f>
        <v>0</v>
      </c>
      <c r="Y17" s="51" t="str">
        <f aca="false">IF(X17=0,"",W17/X17)</f>
        <v/>
      </c>
      <c r="Z17" s="52" t="str">
        <f aca="false">IF(X17=0,"",(IF(AND(I17&lt;&gt;"",H17&lt;&gt;""),I17-H17,0)+IF(AND(K17&lt;&gt;"",J17&lt;&gt;""),K17-J17,0)+IF(AND(M17&lt;&gt;"",L17&lt;&gt;""),M17-L17,0)+IF(AND(O17&lt;&gt;"",N17&lt;&gt;""),O17-N17,0)+IF(AND(Q17&lt;&gt;"",P17&lt;&gt;""),Q17-P17,0)+IF(AND(S17&lt;&gt;"",R17&lt;&gt;""),S17-R17,0))/X17)</f>
        <v/>
      </c>
    </row>
    <row r="18" customFormat="false" ht="19.5" hidden="false" customHeight="true" outlineLevel="0" collapsed="false">
      <c r="A18" s="42"/>
      <c r="B18" s="53" t="s">
        <v>90</v>
      </c>
      <c r="C18" s="44" t="s">
        <v>98</v>
      </c>
      <c r="D18" s="44" t="s">
        <v>85</v>
      </c>
      <c r="E18" s="44" t="s">
        <v>86</v>
      </c>
      <c r="F18" s="45" t="n">
        <f aca="false">IF(E18="reps",3,4)</f>
        <v>4</v>
      </c>
      <c r="G18" s="45" t="n">
        <f aca="false">IF(E18="reps",8,12)</f>
        <v>12</v>
      </c>
      <c r="H18" s="46" t="s">
        <v>91</v>
      </c>
      <c r="I18" s="47"/>
      <c r="J18" s="46" t="s">
        <v>91</v>
      </c>
      <c r="K18" s="47"/>
      <c r="L18" s="46" t="s">
        <v>91</v>
      </c>
      <c r="M18" s="47"/>
      <c r="N18" s="46" t="s">
        <v>91</v>
      </c>
      <c r="O18" s="47"/>
      <c r="P18" s="46" t="s">
        <v>91</v>
      </c>
      <c r="Q18" s="47"/>
      <c r="R18" s="46" t="s">
        <v>91</v>
      </c>
      <c r="S18" s="47"/>
      <c r="T18" s="48" t="str">
        <f aca="false">IF(S18&lt;&gt;"",S18,IF(Q18&lt;&gt;"",Q18,IF(O18&lt;&gt;"",O18,IF(M18&lt;&gt;"",M18,IF(K18&lt;&gt;"",K18,IF(I18&lt;&gt;"",I18,""))))))</f>
        <v/>
      </c>
      <c r="U18" s="49" t="str">
        <f aca="false">IF(B18="hold final","al fallo",IF(T18="",F18&amp;" (piso)",IF(AND(T18&gt;=G18,IF(AND(S18&lt;&gt;"",TRUE()),Q18,IF(AND(Q18&lt;&gt;"",S18=""),O18,IF(AND(O18&lt;&gt;"",Q18=""),M18,IF(AND(M18&lt;&gt;"",O18=""),K18,IF(AND(K18&lt;&gt;"",M18=""),I18,0)))))&gt;=G18),F18&amp;" (piso, progresión nueva)",MIN(G18,T18+IF(E18="s",Reglas!$C$7,Reglas!$C$6)))))</f>
        <v>al fallo</v>
      </c>
      <c r="V18" s="50" t="str">
        <f aca="false">IF(B18="hold final","",IF(T18="","sin datos",IF(AND(T18&gt;=G18,IF(AND(S18&lt;&gt;"",TRUE()),Q18,IF(AND(Q18&lt;&gt;"",S18=""),O18,IF(AND(O18&lt;&gt;"",Q18=""),M18,IF(AND(M18&lt;&gt;"",O18=""),K18,IF(AND(K18&lt;&gt;"",M18=""),I18,0)))))&gt;=G18),"⬆ SUBIR de progresión",IF(T18&gt;=G18,"techo 1 de 2",IF(T18&lt;F18,"bajo el piso: revisar","en rango")))))</f>
        <v/>
      </c>
      <c r="W18" s="54"/>
      <c r="X18" s="54"/>
      <c r="Y18" s="54"/>
      <c r="Z18" s="54"/>
    </row>
  </sheetData>
  <conditionalFormatting sqref="V5:V20">
    <cfRule type="expression" priority="2" aboveAverage="0" equalAverage="0" bottom="0" percent="0" rank="0" text="" dxfId="0">
      <formula>LEFT(V5,1)="⬆"</formula>
    </cfRule>
    <cfRule type="expression" priority="3" aboveAverage="0" equalAverage="0" bottom="0" percent="0" rank="0" text="" dxfId="1">
      <formula>V5="techo 1 de 2"</formula>
    </cfRule>
    <cfRule type="expression" priority="4" aboveAverage="0" equalAverage="0" bottom="0" percent="0" rank="0" text="" dxfId="2">
      <formula>LEFT(V5,4)="bajo"</formula>
    </cfRule>
  </conditionalFormatting>
  <dataValidations count="4">
    <dataValidation allowBlank="true" errorStyle="stop" operator="between" showDropDown="false" showErrorMessage="false" showInputMessage="false" sqref="D5:D8 D10:D13 D15:D18" type="list">
      <formula1>"completa,negativa,hold"</formula1>
      <formula2>0</formula2>
    </dataValidation>
    <dataValidation allowBlank="true" errorStyle="stop" operator="between" showDropDown="false" showErrorMessage="false" showInputMessage="false" sqref="E5:E8 E10:E13 E15:E18" type="list">
      <formula1>"reps,s"</formula1>
      <formula2>0</formula2>
    </dataValidation>
    <dataValidation allowBlank="true" errorStyle="stop" operator="between" showDropDown="false" showErrorMessage="false" showInputMessage="false" sqref="C5:C8 C10:C13" type="list">
      <formula1>"full,half lay,straddle,super adv tuck,adv tuck,tuck,lean"</formula1>
      <formula2>0</formula2>
    </dataValidation>
    <dataValidation allowBlank="true" errorStyle="stop" operator="between" showDropDown="false" showErrorMessage="false" showInputMessage="false" sqref="C15:C18" type="list">
      <formula1>"a straddle,a adv tuck,a tuck,a lean"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31D44"/>
    <pageSetUpPr fitToPage="false"/>
  </sheetPr>
  <dimension ref="A1:Z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9"/>
    <col collapsed="false" customWidth="true" hidden="false" outlineLevel="0" max="2" min="2" style="1" width="9"/>
    <col collapsed="false" customWidth="true" hidden="false" outlineLevel="0" max="3" min="3" style="1" width="20"/>
    <col collapsed="false" customWidth="true" hidden="false" outlineLevel="0" max="4" min="4" style="1" width="10"/>
    <col collapsed="false" customWidth="true" hidden="false" outlineLevel="0" max="5" min="5" style="1" width="6"/>
    <col collapsed="false" customWidth="true" hidden="false" outlineLevel="0" max="6" min="6" style="1" width="5"/>
    <col collapsed="false" customWidth="true" hidden="false" outlineLevel="0" max="7" min="7" style="1" width="6"/>
    <col collapsed="false" customWidth="true" hidden="false" outlineLevel="0" max="20" min="8" style="1" width="7"/>
    <col collapsed="false" customWidth="true" hidden="false" outlineLevel="0" max="21" min="21" style="1" width="14"/>
    <col collapsed="false" customWidth="true" hidden="false" outlineLevel="0" max="22" min="22" style="1" width="26"/>
    <col collapsed="false" customWidth="true" hidden="false" outlineLevel="0" max="24" min="23" style="1" width="8"/>
    <col collapsed="false" customWidth="true" hidden="false" outlineLevel="0" max="25" min="25" style="1" width="9"/>
    <col collapsed="false" customWidth="true" hidden="false" outlineLevel="0" max="26" min="26" style="1" width="8"/>
  </cols>
  <sheetData>
    <row r="1" customFormat="false" ht="19.5" hidden="false" customHeight="true" outlineLevel="0" collapsed="false">
      <c r="A1" s="14" t="s">
        <v>0</v>
      </c>
      <c r="B1" s="2"/>
      <c r="C1" s="2"/>
      <c r="D1" s="2"/>
      <c r="E1" s="2"/>
      <c r="F1" s="2"/>
      <c r="G1" s="2"/>
      <c r="H1" s="2"/>
      <c r="I1" s="2"/>
      <c r="J1" s="2"/>
      <c r="K1" s="2"/>
      <c r="L1" s="2"/>
      <c r="M1" s="2"/>
      <c r="N1" s="2"/>
      <c r="O1" s="2"/>
      <c r="P1" s="2"/>
      <c r="Q1" s="2"/>
      <c r="R1" s="2"/>
      <c r="S1" s="2"/>
      <c r="T1" s="2"/>
      <c r="U1" s="2"/>
      <c r="V1" s="2"/>
      <c r="W1" s="2"/>
      <c r="X1" s="2"/>
      <c r="Y1" s="2"/>
      <c r="Z1" s="2"/>
    </row>
    <row r="2" customFormat="false" ht="15" hidden="false" customHeight="true" outlineLevel="0" collapsed="false">
      <c r="A2" s="28" t="s">
        <v>100</v>
      </c>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15" t="s">
        <v>101</v>
      </c>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29" t="s">
        <v>58</v>
      </c>
      <c r="B4" s="29" t="s">
        <v>59</v>
      </c>
      <c r="C4" s="29" t="s">
        <v>48</v>
      </c>
      <c r="D4" s="29" t="s">
        <v>60</v>
      </c>
      <c r="E4" s="29" t="s">
        <v>61</v>
      </c>
      <c r="F4" s="29" t="s">
        <v>62</v>
      </c>
      <c r="G4" s="29" t="s">
        <v>63</v>
      </c>
      <c r="H4" s="29" t="s">
        <v>64</v>
      </c>
      <c r="I4" s="29" t="s">
        <v>65</v>
      </c>
      <c r="J4" s="29" t="s">
        <v>66</v>
      </c>
      <c r="K4" s="29" t="s">
        <v>67</v>
      </c>
      <c r="L4" s="29" t="s">
        <v>68</v>
      </c>
      <c r="M4" s="29" t="s">
        <v>69</v>
      </c>
      <c r="N4" s="29" t="s">
        <v>70</v>
      </c>
      <c r="O4" s="29" t="s">
        <v>71</v>
      </c>
      <c r="P4" s="29" t="s">
        <v>72</v>
      </c>
      <c r="Q4" s="29" t="s">
        <v>73</v>
      </c>
      <c r="R4" s="29" t="s">
        <v>74</v>
      </c>
      <c r="S4" s="29" t="s">
        <v>75</v>
      </c>
      <c r="T4" s="29" t="s">
        <v>76</v>
      </c>
      <c r="U4" s="29" t="s">
        <v>77</v>
      </c>
      <c r="V4" s="29" t="s">
        <v>51</v>
      </c>
      <c r="W4" s="29" t="s">
        <v>78</v>
      </c>
      <c r="X4" s="29" t="s">
        <v>79</v>
      </c>
      <c r="Y4" s="29" t="s">
        <v>80</v>
      </c>
      <c r="Z4" s="29" t="s">
        <v>81</v>
      </c>
    </row>
    <row r="5" customFormat="false" ht="19.5" hidden="false" customHeight="true" outlineLevel="0" collapsed="false">
      <c r="A5" s="30" t="s">
        <v>102</v>
      </c>
      <c r="B5" s="31" t="s">
        <v>83</v>
      </c>
      <c r="C5" s="32" t="s">
        <v>84</v>
      </c>
      <c r="D5" s="32" t="s">
        <v>85</v>
      </c>
      <c r="E5" s="32" t="s">
        <v>86</v>
      </c>
      <c r="F5" s="33" t="n">
        <f aca="false">IF(E5="reps",3,4)</f>
        <v>4</v>
      </c>
      <c r="G5" s="33" t="n">
        <f aca="false">IF(E5="reps",8,12)</f>
        <v>12</v>
      </c>
      <c r="H5" s="34" t="n">
        <f aca="false">F5</f>
        <v>4</v>
      </c>
      <c r="I5" s="35"/>
      <c r="J5" s="34" t="str">
        <f aca="false">IF(I5="","",IF(FALSE(),F5,MIN(G5,I5+IF(E5="s",Reglas!$C$7,Reglas!$C$6))))</f>
        <v/>
      </c>
      <c r="K5" s="35"/>
      <c r="L5" s="34" t="str">
        <f aca="false">IF(K5="","",IF(AND(K5&gt;=G5,I5&gt;=G5),F5,MIN(G5,K5+IF(E5="s",Reglas!$C$7,Reglas!$C$6))))</f>
        <v/>
      </c>
      <c r="M5" s="35"/>
      <c r="N5" s="34" t="str">
        <f aca="false">IF(M5="","",IF(AND(M5&gt;=G5,K5&gt;=G5),F5,MIN(G5,M5+IF(E5="s",Reglas!$C$7,Reglas!$C$6))))</f>
        <v/>
      </c>
      <c r="O5" s="35"/>
      <c r="P5" s="34" t="str">
        <f aca="false">IF(O5="","",IF(AND(O5&gt;=G5,M5&gt;=G5),F5,MIN(G5,O5+IF(E5="s",Reglas!$C$7,Reglas!$C$6))))</f>
        <v/>
      </c>
      <c r="Q5" s="35"/>
      <c r="R5" s="34" t="str">
        <f aca="false">IF(Q5="","",IF(AND(Q5&gt;=G5,O5&gt;=G5),F5,MIN(G5,Q5+IF(E5="s",Reglas!$C$7,Reglas!$C$6))))</f>
        <v/>
      </c>
      <c r="S5" s="35"/>
      <c r="T5" s="36" t="str">
        <f aca="false">IF(S5&lt;&gt;"",S5,IF(Q5&lt;&gt;"",Q5,IF(O5&lt;&gt;"",O5,IF(M5&lt;&gt;"",M5,IF(K5&lt;&gt;"",K5,IF(I5&lt;&gt;"",I5,""))))))</f>
        <v/>
      </c>
      <c r="U5" s="37" t="str">
        <f aca="false">IF(B5="hold final","al fallo",IF(T5="",F5&amp;" (piso)",IF(AND(T5&gt;=G5,IF(AND(S5&lt;&gt;"",TRUE()),Q5,IF(AND(Q5&lt;&gt;"",S5=""),O5,IF(AND(O5&lt;&gt;"",Q5=""),M5,IF(AND(M5&lt;&gt;"",O5=""),K5,IF(AND(K5&lt;&gt;"",M5=""),I5,0)))))&gt;=G5),F5&amp;" (piso, progresión nueva)",MIN(G5,T5+IF(E5="s",Reglas!$C$7,Reglas!$C$6)))))</f>
        <v>4 (piso)</v>
      </c>
      <c r="V5" s="38" t="str">
        <f aca="false">IF(B5="hold final","",IF(T5="","sin datos",IF(AND(T5&gt;=G5,IF(AND(S5&lt;&gt;"",TRUE()),Q5,IF(AND(Q5&lt;&gt;"",S5=""),O5,IF(AND(O5&lt;&gt;"",Q5=""),M5,IF(AND(M5&lt;&gt;"",O5=""),K5,IF(AND(K5&lt;&gt;"",M5=""),I5,0)))))&gt;=G5),"⬆ SUBIR de progresión",IF(T5&gt;=G5,"techo 1 de 2",IF(T5&lt;F5,"bajo el piso: revisar","en rango")))))</f>
        <v>sin datos</v>
      </c>
      <c r="W5" s="39" t="n">
        <f aca="false">IF(AND(I5&lt;&gt;"",H5&lt;&gt;""),IF(I5&gt;=H5,1,0),0)+IF(AND(K5&lt;&gt;"",J5&lt;&gt;""),IF(K5&gt;=J5,1,0),0)+IF(AND(M5&lt;&gt;"",L5&lt;&gt;""),IF(M5&gt;=L5,1,0),0)+IF(AND(O5&lt;&gt;"",N5&lt;&gt;""),IF(O5&gt;=N5,1,0),0)+IF(AND(Q5&lt;&gt;"",P5&lt;&gt;""),IF(Q5&gt;=P5,1,0),0)+IF(AND(S5&lt;&gt;"",R5&lt;&gt;""),IF(S5&gt;=R5,1,0),0)</f>
        <v>0</v>
      </c>
      <c r="X5" s="39" t="n">
        <f aca="false">IF(AND(I5&lt;&gt;"",H5&lt;&gt;""),1,0)+IF(AND(K5&lt;&gt;"",J5&lt;&gt;""),1,0)+IF(AND(M5&lt;&gt;"",L5&lt;&gt;""),1,0)+IF(AND(O5&lt;&gt;"",N5&lt;&gt;""),1,0)+IF(AND(Q5&lt;&gt;"",P5&lt;&gt;""),1,0)+IF(AND(S5&lt;&gt;"",R5&lt;&gt;""),1,0)</f>
        <v>0</v>
      </c>
      <c r="Y5" s="40" t="str">
        <f aca="false">IF(X5=0,"",W5/X5)</f>
        <v/>
      </c>
      <c r="Z5" s="41" t="str">
        <f aca="false">IF(X5=0,"",(IF(AND(I5&lt;&gt;"",H5&lt;&gt;""),I5-H5,0)+IF(AND(K5&lt;&gt;"",J5&lt;&gt;""),K5-J5,0)+IF(AND(M5&lt;&gt;"",L5&lt;&gt;""),M5-L5,0)+IF(AND(O5&lt;&gt;"",N5&lt;&gt;""),O5-N5,0)+IF(AND(Q5&lt;&gt;"",P5&lt;&gt;""),Q5-P5,0)+IF(AND(S5&lt;&gt;"",R5&lt;&gt;""),S5-R5,0))/X5)</f>
        <v/>
      </c>
    </row>
    <row r="6" customFormat="false" ht="19.5" hidden="false" customHeight="true" outlineLevel="0" collapsed="false">
      <c r="A6" s="42"/>
      <c r="B6" s="43" t="s">
        <v>87</v>
      </c>
      <c r="C6" s="44" t="s">
        <v>88</v>
      </c>
      <c r="D6" s="44" t="s">
        <v>85</v>
      </c>
      <c r="E6" s="44" t="s">
        <v>86</v>
      </c>
      <c r="F6" s="45" t="n">
        <f aca="false">IF(E6="reps",3,4)</f>
        <v>4</v>
      </c>
      <c r="G6" s="45" t="n">
        <f aca="false">IF(E6="reps",8,12)</f>
        <v>12</v>
      </c>
      <c r="H6" s="46" t="n">
        <f aca="false">F6</f>
        <v>4</v>
      </c>
      <c r="I6" s="47"/>
      <c r="J6" s="46" t="str">
        <f aca="false">IF(I6="","",IF(FALSE(),F6,MIN(G6,I6+IF(E6="s",Reglas!$C$7,Reglas!$C$6))))</f>
        <v/>
      </c>
      <c r="K6" s="47"/>
      <c r="L6" s="46" t="str">
        <f aca="false">IF(K6="","",IF(AND(K6&gt;=G6,I6&gt;=G6),F6,MIN(G6,K6+IF(E6="s",Reglas!$C$7,Reglas!$C$6))))</f>
        <v/>
      </c>
      <c r="M6" s="47"/>
      <c r="N6" s="46" t="str">
        <f aca="false">IF(M6="","",IF(AND(M6&gt;=G6,K6&gt;=G6),F6,MIN(G6,M6+IF(E6="s",Reglas!$C$7,Reglas!$C$6))))</f>
        <v/>
      </c>
      <c r="O6" s="47"/>
      <c r="P6" s="46" t="str">
        <f aca="false">IF(O6="","",IF(AND(O6&gt;=G6,M6&gt;=G6),F6,MIN(G6,O6+IF(E6="s",Reglas!$C$7,Reglas!$C$6))))</f>
        <v/>
      </c>
      <c r="Q6" s="47"/>
      <c r="R6" s="46" t="str">
        <f aca="false">IF(Q6="","",IF(AND(Q6&gt;=G6,O6&gt;=G6),F6,MIN(G6,Q6+IF(E6="s",Reglas!$C$7,Reglas!$C$6))))</f>
        <v/>
      </c>
      <c r="S6" s="47"/>
      <c r="T6" s="48" t="str">
        <f aca="false">IF(S6&lt;&gt;"",S6,IF(Q6&lt;&gt;"",Q6,IF(O6&lt;&gt;"",O6,IF(M6&lt;&gt;"",M6,IF(K6&lt;&gt;"",K6,IF(I6&lt;&gt;"",I6,""))))))</f>
        <v/>
      </c>
      <c r="U6" s="49" t="str">
        <f aca="false">IF(B6="hold final","al fallo",IF(T6="",F6&amp;" (piso)",IF(AND(T6&gt;=G6,IF(AND(S6&lt;&gt;"",TRUE()),Q6,IF(AND(Q6&lt;&gt;"",S6=""),O6,IF(AND(O6&lt;&gt;"",Q6=""),M6,IF(AND(M6&lt;&gt;"",O6=""),K6,IF(AND(K6&lt;&gt;"",M6=""),I6,0)))))&gt;=G6),F6&amp;" (piso, progresión nueva)",MIN(G6,T6+IF(E6="s",Reglas!$C$7,Reglas!$C$6)))))</f>
        <v>4 (piso)</v>
      </c>
      <c r="V6" s="50" t="str">
        <f aca="false">IF(B6="hold final","",IF(T6="","sin datos",IF(AND(T6&gt;=G6,IF(AND(S6&lt;&gt;"",TRUE()),Q6,IF(AND(Q6&lt;&gt;"",S6=""),O6,IF(AND(O6&lt;&gt;"",Q6=""),M6,IF(AND(M6&lt;&gt;"",O6=""),K6,IF(AND(K6&lt;&gt;"",M6=""),I6,0)))))&gt;=G6),"⬆ SUBIR de progresión",IF(T6&gt;=G6,"techo 1 de 2",IF(T6&lt;F6,"bajo el piso: revisar","en rango")))))</f>
        <v>sin datos</v>
      </c>
      <c r="W6" s="21" t="n">
        <f aca="false">IF(AND(I6&lt;&gt;"",H6&lt;&gt;""),IF(I6&gt;=H6,1,0),0)+IF(AND(K6&lt;&gt;"",J6&lt;&gt;""),IF(K6&gt;=J6,1,0),0)+IF(AND(M6&lt;&gt;"",L6&lt;&gt;""),IF(M6&gt;=L6,1,0),0)+IF(AND(O6&lt;&gt;"",N6&lt;&gt;""),IF(O6&gt;=N6,1,0),0)+IF(AND(Q6&lt;&gt;"",P6&lt;&gt;""),IF(Q6&gt;=P6,1,0),0)+IF(AND(S6&lt;&gt;"",R6&lt;&gt;""),IF(S6&gt;=R6,1,0),0)</f>
        <v>0</v>
      </c>
      <c r="X6" s="21" t="n">
        <f aca="false">IF(AND(I6&lt;&gt;"",H6&lt;&gt;""),1,0)+IF(AND(K6&lt;&gt;"",J6&lt;&gt;""),1,0)+IF(AND(M6&lt;&gt;"",L6&lt;&gt;""),1,0)+IF(AND(O6&lt;&gt;"",N6&lt;&gt;""),1,0)+IF(AND(Q6&lt;&gt;"",P6&lt;&gt;""),1,0)+IF(AND(S6&lt;&gt;"",R6&lt;&gt;""),1,0)</f>
        <v>0</v>
      </c>
      <c r="Y6" s="51" t="str">
        <f aca="false">IF(X6=0,"",W6/X6)</f>
        <v/>
      </c>
      <c r="Z6" s="52" t="str">
        <f aca="false">IF(X6=0,"",(IF(AND(I6&lt;&gt;"",H6&lt;&gt;""),I6-H6,0)+IF(AND(K6&lt;&gt;"",J6&lt;&gt;""),K6-J6,0)+IF(AND(M6&lt;&gt;"",L6&lt;&gt;""),M6-L6,0)+IF(AND(O6&lt;&gt;"",N6&lt;&gt;""),O6-N6,0)+IF(AND(Q6&lt;&gt;"",P6&lt;&gt;""),Q6-P6,0)+IF(AND(S6&lt;&gt;"",R6&lt;&gt;""),S6-R6,0))/X6)</f>
        <v/>
      </c>
    </row>
    <row r="7" customFormat="false" ht="19.5" hidden="false" customHeight="true" outlineLevel="0" collapsed="false">
      <c r="A7" s="42"/>
      <c r="B7" s="43" t="s">
        <v>89</v>
      </c>
      <c r="C7" s="44" t="s">
        <v>50</v>
      </c>
      <c r="D7" s="44" t="s">
        <v>85</v>
      </c>
      <c r="E7" s="44" t="s">
        <v>86</v>
      </c>
      <c r="F7" s="45" t="n">
        <f aca="false">IF(E7="reps",3,4)</f>
        <v>4</v>
      </c>
      <c r="G7" s="45" t="n">
        <f aca="false">IF(E7="reps",8,12)</f>
        <v>12</v>
      </c>
      <c r="H7" s="46" t="n">
        <f aca="false">F7</f>
        <v>4</v>
      </c>
      <c r="I7" s="47"/>
      <c r="J7" s="46" t="str">
        <f aca="false">IF(I7="","",IF(FALSE(),F7,MIN(G7,I7+IF(E7="s",Reglas!$C$7,Reglas!$C$6))))</f>
        <v/>
      </c>
      <c r="K7" s="47"/>
      <c r="L7" s="46" t="str">
        <f aca="false">IF(K7="","",IF(AND(K7&gt;=G7,I7&gt;=G7),F7,MIN(G7,K7+IF(E7="s",Reglas!$C$7,Reglas!$C$6))))</f>
        <v/>
      </c>
      <c r="M7" s="47"/>
      <c r="N7" s="46" t="str">
        <f aca="false">IF(M7="","",IF(AND(M7&gt;=G7,K7&gt;=G7),F7,MIN(G7,M7+IF(E7="s",Reglas!$C$7,Reglas!$C$6))))</f>
        <v/>
      </c>
      <c r="O7" s="47"/>
      <c r="P7" s="46" t="str">
        <f aca="false">IF(O7="","",IF(AND(O7&gt;=G7,M7&gt;=G7),F7,MIN(G7,O7+IF(E7="s",Reglas!$C$7,Reglas!$C$6))))</f>
        <v/>
      </c>
      <c r="Q7" s="47"/>
      <c r="R7" s="46" t="str">
        <f aca="false">IF(Q7="","",IF(AND(Q7&gt;=G7,O7&gt;=G7),F7,MIN(G7,Q7+IF(E7="s",Reglas!$C$7,Reglas!$C$6))))</f>
        <v/>
      </c>
      <c r="S7" s="47"/>
      <c r="T7" s="48" t="str">
        <f aca="false">IF(S7&lt;&gt;"",S7,IF(Q7&lt;&gt;"",Q7,IF(O7&lt;&gt;"",O7,IF(M7&lt;&gt;"",M7,IF(K7&lt;&gt;"",K7,IF(I7&lt;&gt;"",I7,""))))))</f>
        <v/>
      </c>
      <c r="U7" s="49" t="str">
        <f aca="false">IF(B7="hold final","al fallo",IF(T7="",F7&amp;" (piso)",IF(AND(T7&gt;=G7,IF(AND(S7&lt;&gt;"",TRUE()),Q7,IF(AND(Q7&lt;&gt;"",S7=""),O7,IF(AND(O7&lt;&gt;"",Q7=""),M7,IF(AND(M7&lt;&gt;"",O7=""),K7,IF(AND(K7&lt;&gt;"",M7=""),I7,0)))))&gt;=G7),F7&amp;" (piso, progresión nueva)",MIN(G7,T7+IF(E7="s",Reglas!$C$7,Reglas!$C$6)))))</f>
        <v>4 (piso)</v>
      </c>
      <c r="V7" s="50" t="str">
        <f aca="false">IF(B7="hold final","",IF(T7="","sin datos",IF(AND(T7&gt;=G7,IF(AND(S7&lt;&gt;"",TRUE()),Q7,IF(AND(Q7&lt;&gt;"",S7=""),O7,IF(AND(O7&lt;&gt;"",Q7=""),M7,IF(AND(M7&lt;&gt;"",O7=""),K7,IF(AND(K7&lt;&gt;"",M7=""),I7,0)))))&gt;=G7),"⬆ SUBIR de progresión",IF(T7&gt;=G7,"techo 1 de 2",IF(T7&lt;F7,"bajo el piso: revisar","en rango")))))</f>
        <v>sin datos</v>
      </c>
      <c r="W7" s="21" t="n">
        <f aca="false">IF(AND(I7&lt;&gt;"",H7&lt;&gt;""),IF(I7&gt;=H7,1,0),0)+IF(AND(K7&lt;&gt;"",J7&lt;&gt;""),IF(K7&gt;=J7,1,0),0)+IF(AND(M7&lt;&gt;"",L7&lt;&gt;""),IF(M7&gt;=L7,1,0),0)+IF(AND(O7&lt;&gt;"",N7&lt;&gt;""),IF(O7&gt;=N7,1,0),0)+IF(AND(Q7&lt;&gt;"",P7&lt;&gt;""),IF(Q7&gt;=P7,1,0),0)+IF(AND(S7&lt;&gt;"",R7&lt;&gt;""),IF(S7&gt;=R7,1,0),0)</f>
        <v>0</v>
      </c>
      <c r="X7" s="21" t="n">
        <f aca="false">IF(AND(I7&lt;&gt;"",H7&lt;&gt;""),1,0)+IF(AND(K7&lt;&gt;"",J7&lt;&gt;""),1,0)+IF(AND(M7&lt;&gt;"",L7&lt;&gt;""),1,0)+IF(AND(O7&lt;&gt;"",N7&lt;&gt;""),1,0)+IF(AND(Q7&lt;&gt;"",P7&lt;&gt;""),1,0)+IF(AND(S7&lt;&gt;"",R7&lt;&gt;""),1,0)</f>
        <v>0</v>
      </c>
      <c r="Y7" s="51" t="str">
        <f aca="false">IF(X7=0,"",W7/X7)</f>
        <v/>
      </c>
      <c r="Z7" s="52" t="str">
        <f aca="false">IF(X7=0,"",(IF(AND(I7&lt;&gt;"",H7&lt;&gt;""),I7-H7,0)+IF(AND(K7&lt;&gt;"",J7&lt;&gt;""),K7-J7,0)+IF(AND(M7&lt;&gt;"",L7&lt;&gt;""),M7-L7,0)+IF(AND(O7&lt;&gt;"",N7&lt;&gt;""),O7-N7,0)+IF(AND(Q7&lt;&gt;"",P7&lt;&gt;""),Q7-P7,0)+IF(AND(S7&lt;&gt;"",R7&lt;&gt;""),S7-R7,0))/X7)</f>
        <v/>
      </c>
    </row>
    <row r="8" customFormat="false" ht="19.5" hidden="false" customHeight="true" outlineLevel="0" collapsed="false">
      <c r="A8" s="42"/>
      <c r="B8" s="53" t="s">
        <v>90</v>
      </c>
      <c r="C8" s="44" t="s">
        <v>49</v>
      </c>
      <c r="D8" s="44" t="s">
        <v>85</v>
      </c>
      <c r="E8" s="44" t="s">
        <v>86</v>
      </c>
      <c r="F8" s="45" t="n">
        <f aca="false">IF(E8="reps",3,4)</f>
        <v>4</v>
      </c>
      <c r="G8" s="45" t="n">
        <f aca="false">IF(E8="reps",8,12)</f>
        <v>12</v>
      </c>
      <c r="H8" s="46" t="s">
        <v>91</v>
      </c>
      <c r="I8" s="47"/>
      <c r="J8" s="46" t="s">
        <v>91</v>
      </c>
      <c r="K8" s="47"/>
      <c r="L8" s="46" t="s">
        <v>91</v>
      </c>
      <c r="M8" s="47"/>
      <c r="N8" s="46" t="s">
        <v>91</v>
      </c>
      <c r="O8" s="47"/>
      <c r="P8" s="46" t="s">
        <v>91</v>
      </c>
      <c r="Q8" s="47"/>
      <c r="R8" s="46" t="s">
        <v>91</v>
      </c>
      <c r="S8" s="47"/>
      <c r="T8" s="48" t="str">
        <f aca="false">IF(S8&lt;&gt;"",S8,IF(Q8&lt;&gt;"",Q8,IF(O8&lt;&gt;"",O8,IF(M8&lt;&gt;"",M8,IF(K8&lt;&gt;"",K8,IF(I8&lt;&gt;"",I8,""))))))</f>
        <v/>
      </c>
      <c r="U8" s="49" t="str">
        <f aca="false">IF(B8="hold final","al fallo",IF(T8="",F8&amp;" (piso)",IF(AND(T8&gt;=G8,IF(AND(S8&lt;&gt;"",TRUE()),Q8,IF(AND(Q8&lt;&gt;"",S8=""),O8,IF(AND(O8&lt;&gt;"",Q8=""),M8,IF(AND(M8&lt;&gt;"",O8=""),K8,IF(AND(K8&lt;&gt;"",M8=""),I8,0)))))&gt;=G8),F8&amp;" (piso, progresión nueva)",MIN(G8,T8+IF(E8="s",Reglas!$C$7,Reglas!$C$6)))))</f>
        <v>al fallo</v>
      </c>
      <c r="V8" s="50" t="str">
        <f aca="false">IF(B8="hold final","",IF(T8="","sin datos",IF(AND(T8&gt;=G8,IF(AND(S8&lt;&gt;"",TRUE()),Q8,IF(AND(Q8&lt;&gt;"",S8=""),O8,IF(AND(O8&lt;&gt;"",Q8=""),M8,IF(AND(M8&lt;&gt;"",O8=""),K8,IF(AND(K8&lt;&gt;"",M8=""),I8,0)))))&gt;=G8),"⬆ SUBIR de progresión",IF(T8&gt;=G8,"techo 1 de 2",IF(T8&lt;F8,"bajo el piso: revisar","en rango")))))</f>
        <v/>
      </c>
      <c r="W8" s="54"/>
      <c r="X8" s="54"/>
      <c r="Y8" s="54"/>
      <c r="Z8" s="54"/>
    </row>
    <row r="10" customFormat="false" ht="19.5" hidden="false" customHeight="true" outlineLevel="0" collapsed="false">
      <c r="A10" s="55" t="s">
        <v>103</v>
      </c>
      <c r="B10" s="56" t="s">
        <v>83</v>
      </c>
      <c r="C10" s="32" t="s">
        <v>50</v>
      </c>
      <c r="D10" s="32" t="s">
        <v>93</v>
      </c>
      <c r="E10" s="32" t="s">
        <v>94</v>
      </c>
      <c r="F10" s="57" t="n">
        <f aca="false">IF(E10="reps",3,4)</f>
        <v>3</v>
      </c>
      <c r="G10" s="57" t="n">
        <f aca="false">IF(E10="reps",8,12)</f>
        <v>8</v>
      </c>
      <c r="H10" s="34" t="n">
        <f aca="false">F10</f>
        <v>3</v>
      </c>
      <c r="I10" s="35"/>
      <c r="J10" s="34" t="str">
        <f aca="false">IF(I10="","",IF(FALSE(),F10,MIN(G10,I10+IF(E10="s",Reglas!$C$7,Reglas!$C$6))))</f>
        <v/>
      </c>
      <c r="K10" s="35"/>
      <c r="L10" s="34" t="str">
        <f aca="false">IF(K10="","",IF(AND(K10&gt;=G10,I10&gt;=G10),F10,MIN(G10,K10+IF(E10="s",Reglas!$C$7,Reglas!$C$6))))</f>
        <v/>
      </c>
      <c r="M10" s="35"/>
      <c r="N10" s="34" t="str">
        <f aca="false">IF(M10="","",IF(AND(M10&gt;=G10,K10&gt;=G10),F10,MIN(G10,M10+IF(E10="s",Reglas!$C$7,Reglas!$C$6))))</f>
        <v/>
      </c>
      <c r="O10" s="35"/>
      <c r="P10" s="34" t="str">
        <f aca="false">IF(O10="","",IF(AND(O10&gt;=G10,M10&gt;=G10),F10,MIN(G10,O10+IF(E10="s",Reglas!$C$7,Reglas!$C$6))))</f>
        <v/>
      </c>
      <c r="Q10" s="35"/>
      <c r="R10" s="34" t="str">
        <f aca="false">IF(Q10="","",IF(AND(Q10&gt;=G10,O10&gt;=G10),F10,MIN(G10,Q10+IF(E10="s",Reglas!$C$7,Reglas!$C$6))))</f>
        <v/>
      </c>
      <c r="S10" s="35"/>
      <c r="T10" s="58" t="str">
        <f aca="false">IF(S10&lt;&gt;"",S10,IF(Q10&lt;&gt;"",Q10,IF(O10&lt;&gt;"",O10,IF(M10&lt;&gt;"",M10,IF(K10&lt;&gt;"",K10,IF(I10&lt;&gt;"",I10,""))))))</f>
        <v/>
      </c>
      <c r="U10" s="59" t="str">
        <f aca="false">IF(B10="hold final","al fallo",IF(T10="",F10&amp;" (piso)",IF(AND(T10&gt;=G10,IF(AND(S10&lt;&gt;"",TRUE()),Q10,IF(AND(Q10&lt;&gt;"",S10=""),O10,IF(AND(O10&lt;&gt;"",Q10=""),M10,IF(AND(M10&lt;&gt;"",O10=""),K10,IF(AND(K10&lt;&gt;"",M10=""),I10,0)))))&gt;=G10),F10&amp;" (piso, progresión nueva)",MIN(G10,T10+IF(E10="s",Reglas!$C$7,Reglas!$C$6)))))</f>
        <v>3 (piso)</v>
      </c>
      <c r="V10" s="60" t="str">
        <f aca="false">IF(B10="hold final","",IF(T10="","sin datos",IF(AND(T10&gt;=G10,IF(AND(S10&lt;&gt;"",TRUE()),Q10,IF(AND(Q10&lt;&gt;"",S10=""),O10,IF(AND(O10&lt;&gt;"",Q10=""),M10,IF(AND(M10&lt;&gt;"",O10=""),K10,IF(AND(K10&lt;&gt;"",M10=""),I10,0)))))&gt;=G10),"⬆ SUBIR de progresión",IF(T10&gt;=G10,"techo 1 de 2",IF(T10&lt;F10,"bajo el piso: revisar","en rango")))))</f>
        <v>sin datos</v>
      </c>
      <c r="W10" s="61" t="n">
        <f aca="false">IF(AND(I10&lt;&gt;"",H10&lt;&gt;""),IF(I10&gt;=H10,1,0),0)+IF(AND(K10&lt;&gt;"",J10&lt;&gt;""),IF(K10&gt;=J10,1,0),0)+IF(AND(M10&lt;&gt;"",L10&lt;&gt;""),IF(M10&gt;=L10,1,0),0)+IF(AND(O10&lt;&gt;"",N10&lt;&gt;""),IF(O10&gt;=N10,1,0),0)+IF(AND(Q10&lt;&gt;"",P10&lt;&gt;""),IF(Q10&gt;=P10,1,0),0)+IF(AND(S10&lt;&gt;"",R10&lt;&gt;""),IF(S10&gt;=R10,1,0),0)</f>
        <v>0</v>
      </c>
      <c r="X10" s="61" t="n">
        <f aca="false">IF(AND(I10&lt;&gt;"",H10&lt;&gt;""),1,0)+IF(AND(K10&lt;&gt;"",J10&lt;&gt;""),1,0)+IF(AND(M10&lt;&gt;"",L10&lt;&gt;""),1,0)+IF(AND(O10&lt;&gt;"",N10&lt;&gt;""),1,0)+IF(AND(Q10&lt;&gt;"",P10&lt;&gt;""),1,0)+IF(AND(S10&lt;&gt;"",R10&lt;&gt;""),1,0)</f>
        <v>0</v>
      </c>
      <c r="Y10" s="62" t="str">
        <f aca="false">IF(X10=0,"",W10/X10)</f>
        <v/>
      </c>
      <c r="Z10" s="63" t="str">
        <f aca="false">IF(X10=0,"",(IF(AND(I10&lt;&gt;"",H10&lt;&gt;""),I10-H10,0)+IF(AND(K10&lt;&gt;"",J10&lt;&gt;""),K10-J10,0)+IF(AND(M10&lt;&gt;"",L10&lt;&gt;""),M10-L10,0)+IF(AND(O10&lt;&gt;"",N10&lt;&gt;""),O10-N10,0)+IF(AND(Q10&lt;&gt;"",P10&lt;&gt;""),Q10-P10,0)+IF(AND(S10&lt;&gt;"",R10&lt;&gt;""),S10-R10,0))/X10)</f>
        <v/>
      </c>
    </row>
    <row r="11" customFormat="false" ht="19.5" hidden="false" customHeight="true" outlineLevel="0" collapsed="false">
      <c r="A11" s="64"/>
      <c r="B11" s="65" t="s">
        <v>87</v>
      </c>
      <c r="C11" s="44" t="s">
        <v>50</v>
      </c>
      <c r="D11" s="44" t="s">
        <v>95</v>
      </c>
      <c r="E11" s="44" t="s">
        <v>94</v>
      </c>
      <c r="F11" s="66" t="n">
        <f aca="false">IF(E11="reps",3,4)</f>
        <v>3</v>
      </c>
      <c r="G11" s="66" t="n">
        <f aca="false">IF(E11="reps",8,12)</f>
        <v>8</v>
      </c>
      <c r="H11" s="46" t="n">
        <f aca="false">F11</f>
        <v>3</v>
      </c>
      <c r="I11" s="47"/>
      <c r="J11" s="46" t="str">
        <f aca="false">IF(I11="","",IF(FALSE(),F11,MIN(G11,I11+IF(E11="s",Reglas!$C$7,Reglas!$C$6))))</f>
        <v/>
      </c>
      <c r="K11" s="47"/>
      <c r="L11" s="46" t="str">
        <f aca="false">IF(K11="","",IF(AND(K11&gt;=G11,I11&gt;=G11),F11,MIN(G11,K11+IF(E11="s",Reglas!$C$7,Reglas!$C$6))))</f>
        <v/>
      </c>
      <c r="M11" s="47"/>
      <c r="N11" s="46" t="str">
        <f aca="false">IF(M11="","",IF(AND(M11&gt;=G11,K11&gt;=G11),F11,MIN(G11,M11+IF(E11="s",Reglas!$C$7,Reglas!$C$6))))</f>
        <v/>
      </c>
      <c r="O11" s="47"/>
      <c r="P11" s="46" t="str">
        <f aca="false">IF(O11="","",IF(AND(O11&gt;=G11,M11&gt;=G11),F11,MIN(G11,O11+IF(E11="s",Reglas!$C$7,Reglas!$C$6))))</f>
        <v/>
      </c>
      <c r="Q11" s="47"/>
      <c r="R11" s="46" t="str">
        <f aca="false">IF(Q11="","",IF(AND(Q11&gt;=G11,O11&gt;=G11),F11,MIN(G11,Q11+IF(E11="s",Reglas!$C$7,Reglas!$C$6))))</f>
        <v/>
      </c>
      <c r="S11" s="47"/>
      <c r="T11" s="67" t="str">
        <f aca="false">IF(S11&lt;&gt;"",S11,IF(Q11&lt;&gt;"",Q11,IF(O11&lt;&gt;"",O11,IF(M11&lt;&gt;"",M11,IF(K11&lt;&gt;"",K11,IF(I11&lt;&gt;"",I11,""))))))</f>
        <v/>
      </c>
      <c r="U11" s="68" t="str">
        <f aca="false">IF(B11="hold final","al fallo",IF(T11="",F11&amp;" (piso)",IF(AND(T11&gt;=G11,IF(AND(S11&lt;&gt;"",TRUE()),Q11,IF(AND(Q11&lt;&gt;"",S11=""),O11,IF(AND(O11&lt;&gt;"",Q11=""),M11,IF(AND(M11&lt;&gt;"",O11=""),K11,IF(AND(K11&lt;&gt;"",M11=""),I11,0)))))&gt;=G11),F11&amp;" (piso, progresión nueva)",MIN(G11,T11+IF(E11="s",Reglas!$C$7,Reglas!$C$6)))))</f>
        <v>3 (piso)</v>
      </c>
      <c r="V11" s="69" t="str">
        <f aca="false">IF(B11="hold final","",IF(T11="","sin datos",IF(AND(T11&gt;=G11,IF(AND(S11&lt;&gt;"",TRUE()),Q11,IF(AND(Q11&lt;&gt;"",S11=""),O11,IF(AND(O11&lt;&gt;"",Q11=""),M11,IF(AND(M11&lt;&gt;"",O11=""),K11,IF(AND(K11&lt;&gt;"",M11=""),I11,0)))))&gt;=G11),"⬆ SUBIR de progresión",IF(T11&gt;=G11,"techo 1 de 2",IF(T11&lt;F11,"bajo el piso: revisar","en rango")))))</f>
        <v>sin datos</v>
      </c>
      <c r="W11" s="19" t="n">
        <f aca="false">IF(AND(I11&lt;&gt;"",H11&lt;&gt;""),IF(I11&gt;=H11,1,0),0)+IF(AND(K11&lt;&gt;"",J11&lt;&gt;""),IF(K11&gt;=J11,1,0),0)+IF(AND(M11&lt;&gt;"",L11&lt;&gt;""),IF(M11&gt;=L11,1,0),0)+IF(AND(O11&lt;&gt;"",N11&lt;&gt;""),IF(O11&gt;=N11,1,0),0)+IF(AND(Q11&lt;&gt;"",P11&lt;&gt;""),IF(Q11&gt;=P11,1,0),0)+IF(AND(S11&lt;&gt;"",R11&lt;&gt;""),IF(S11&gt;=R11,1,0),0)</f>
        <v>0</v>
      </c>
      <c r="X11" s="19" t="n">
        <f aca="false">IF(AND(I11&lt;&gt;"",H11&lt;&gt;""),1,0)+IF(AND(K11&lt;&gt;"",J11&lt;&gt;""),1,0)+IF(AND(M11&lt;&gt;"",L11&lt;&gt;""),1,0)+IF(AND(O11&lt;&gt;"",N11&lt;&gt;""),1,0)+IF(AND(Q11&lt;&gt;"",P11&lt;&gt;""),1,0)+IF(AND(S11&lt;&gt;"",R11&lt;&gt;""),1,0)</f>
        <v>0</v>
      </c>
      <c r="Y11" s="70" t="str">
        <f aca="false">IF(X11=0,"",W11/X11)</f>
        <v/>
      </c>
      <c r="Z11" s="71" t="str">
        <f aca="false">IF(X11=0,"",(IF(AND(I11&lt;&gt;"",H11&lt;&gt;""),I11-H11,0)+IF(AND(K11&lt;&gt;"",J11&lt;&gt;""),K11-J11,0)+IF(AND(M11&lt;&gt;"",L11&lt;&gt;""),M11-L11,0)+IF(AND(O11&lt;&gt;"",N11&lt;&gt;""),O11-N11,0)+IF(AND(Q11&lt;&gt;"",P11&lt;&gt;""),Q11-P11,0)+IF(AND(S11&lt;&gt;"",R11&lt;&gt;""),S11-R11,0))/X11)</f>
        <v/>
      </c>
    </row>
    <row r="12" customFormat="false" ht="19.5" hidden="false" customHeight="true" outlineLevel="0" collapsed="false">
      <c r="A12" s="64"/>
      <c r="B12" s="65" t="s">
        <v>89</v>
      </c>
      <c r="C12" s="44" t="s">
        <v>49</v>
      </c>
      <c r="D12" s="44" t="s">
        <v>93</v>
      </c>
      <c r="E12" s="44" t="s">
        <v>94</v>
      </c>
      <c r="F12" s="66" t="n">
        <f aca="false">IF(E12="reps",3,4)</f>
        <v>3</v>
      </c>
      <c r="G12" s="66" t="n">
        <f aca="false">IF(E12="reps",8,12)</f>
        <v>8</v>
      </c>
      <c r="H12" s="46" t="n">
        <f aca="false">F12</f>
        <v>3</v>
      </c>
      <c r="I12" s="47"/>
      <c r="J12" s="46" t="str">
        <f aca="false">IF(I12="","",IF(FALSE(),F12,MIN(G12,I12+IF(E12="s",Reglas!$C$7,Reglas!$C$6))))</f>
        <v/>
      </c>
      <c r="K12" s="47"/>
      <c r="L12" s="46" t="str">
        <f aca="false">IF(K12="","",IF(AND(K12&gt;=G12,I12&gt;=G12),F12,MIN(G12,K12+IF(E12="s",Reglas!$C$7,Reglas!$C$6))))</f>
        <v/>
      </c>
      <c r="M12" s="47"/>
      <c r="N12" s="46" t="str">
        <f aca="false">IF(M12="","",IF(AND(M12&gt;=G12,K12&gt;=G12),F12,MIN(G12,M12+IF(E12="s",Reglas!$C$7,Reglas!$C$6))))</f>
        <v/>
      </c>
      <c r="O12" s="47"/>
      <c r="P12" s="46" t="str">
        <f aca="false">IF(O12="","",IF(AND(O12&gt;=G12,M12&gt;=G12),F12,MIN(G12,O12+IF(E12="s",Reglas!$C$7,Reglas!$C$6))))</f>
        <v/>
      </c>
      <c r="Q12" s="47"/>
      <c r="R12" s="46" t="str">
        <f aca="false">IF(Q12="","",IF(AND(Q12&gt;=G12,O12&gt;=G12),F12,MIN(G12,Q12+IF(E12="s",Reglas!$C$7,Reglas!$C$6))))</f>
        <v/>
      </c>
      <c r="S12" s="47"/>
      <c r="T12" s="67" t="str">
        <f aca="false">IF(S12&lt;&gt;"",S12,IF(Q12&lt;&gt;"",Q12,IF(O12&lt;&gt;"",O12,IF(M12&lt;&gt;"",M12,IF(K12&lt;&gt;"",K12,IF(I12&lt;&gt;"",I12,""))))))</f>
        <v/>
      </c>
      <c r="U12" s="68" t="str">
        <f aca="false">IF(B12="hold final","al fallo",IF(T12="",F12&amp;" (piso)",IF(AND(T12&gt;=G12,IF(AND(S12&lt;&gt;"",TRUE()),Q12,IF(AND(Q12&lt;&gt;"",S12=""),O12,IF(AND(O12&lt;&gt;"",Q12=""),M12,IF(AND(M12&lt;&gt;"",O12=""),K12,IF(AND(K12&lt;&gt;"",M12=""),I12,0)))))&gt;=G12),F12&amp;" (piso, progresión nueva)",MIN(G12,T12+IF(E12="s",Reglas!$C$7,Reglas!$C$6)))))</f>
        <v>3 (piso)</v>
      </c>
      <c r="V12" s="69" t="str">
        <f aca="false">IF(B12="hold final","",IF(T12="","sin datos",IF(AND(T12&gt;=G12,IF(AND(S12&lt;&gt;"",TRUE()),Q12,IF(AND(Q12&lt;&gt;"",S12=""),O12,IF(AND(O12&lt;&gt;"",Q12=""),M12,IF(AND(M12&lt;&gt;"",O12=""),K12,IF(AND(K12&lt;&gt;"",M12=""),I12,0)))))&gt;=G12),"⬆ SUBIR de progresión",IF(T12&gt;=G12,"techo 1 de 2",IF(T12&lt;F12,"bajo el piso: revisar","en rango")))))</f>
        <v>sin datos</v>
      </c>
      <c r="W12" s="19" t="n">
        <f aca="false">IF(AND(I12&lt;&gt;"",H12&lt;&gt;""),IF(I12&gt;=H12,1,0),0)+IF(AND(K12&lt;&gt;"",J12&lt;&gt;""),IF(K12&gt;=J12,1,0),0)+IF(AND(M12&lt;&gt;"",L12&lt;&gt;""),IF(M12&gt;=L12,1,0),0)+IF(AND(O12&lt;&gt;"",N12&lt;&gt;""),IF(O12&gt;=N12,1,0),0)+IF(AND(Q12&lt;&gt;"",P12&lt;&gt;""),IF(Q12&gt;=P12,1,0),0)+IF(AND(S12&lt;&gt;"",R12&lt;&gt;""),IF(S12&gt;=R12,1,0),0)</f>
        <v>0</v>
      </c>
      <c r="X12" s="19" t="n">
        <f aca="false">IF(AND(I12&lt;&gt;"",H12&lt;&gt;""),1,0)+IF(AND(K12&lt;&gt;"",J12&lt;&gt;""),1,0)+IF(AND(M12&lt;&gt;"",L12&lt;&gt;""),1,0)+IF(AND(O12&lt;&gt;"",N12&lt;&gt;""),1,0)+IF(AND(Q12&lt;&gt;"",P12&lt;&gt;""),1,0)+IF(AND(S12&lt;&gt;"",R12&lt;&gt;""),1,0)</f>
        <v>0</v>
      </c>
      <c r="Y12" s="70" t="str">
        <f aca="false">IF(X12=0,"",W12/X12)</f>
        <v/>
      </c>
      <c r="Z12" s="71" t="str">
        <f aca="false">IF(X12=0,"",(IF(AND(I12&lt;&gt;"",H12&lt;&gt;""),I12-H12,0)+IF(AND(K12&lt;&gt;"",J12&lt;&gt;""),K12-J12,0)+IF(AND(M12&lt;&gt;"",L12&lt;&gt;""),M12-L12,0)+IF(AND(O12&lt;&gt;"",N12&lt;&gt;""),O12-N12,0)+IF(AND(Q12&lt;&gt;"",P12&lt;&gt;""),Q12-P12,0)+IF(AND(S12&lt;&gt;"",R12&lt;&gt;""),S12-R12,0))/X12)</f>
        <v/>
      </c>
    </row>
    <row r="13" customFormat="false" ht="19.5" hidden="false" customHeight="true" outlineLevel="0" collapsed="false">
      <c r="A13" s="64"/>
      <c r="B13" s="72" t="s">
        <v>90</v>
      </c>
      <c r="C13" s="44" t="s">
        <v>49</v>
      </c>
      <c r="D13" s="44" t="s">
        <v>85</v>
      </c>
      <c r="E13" s="44" t="s">
        <v>86</v>
      </c>
      <c r="F13" s="66" t="n">
        <f aca="false">IF(E13="reps",3,4)</f>
        <v>4</v>
      </c>
      <c r="G13" s="66" t="n">
        <f aca="false">IF(E13="reps",8,12)</f>
        <v>12</v>
      </c>
      <c r="H13" s="46" t="s">
        <v>91</v>
      </c>
      <c r="I13" s="47"/>
      <c r="J13" s="46" t="s">
        <v>91</v>
      </c>
      <c r="K13" s="47"/>
      <c r="L13" s="46" t="s">
        <v>91</v>
      </c>
      <c r="M13" s="47"/>
      <c r="N13" s="46" t="s">
        <v>91</v>
      </c>
      <c r="O13" s="47"/>
      <c r="P13" s="46" t="s">
        <v>91</v>
      </c>
      <c r="Q13" s="47"/>
      <c r="R13" s="46" t="s">
        <v>91</v>
      </c>
      <c r="S13" s="47"/>
      <c r="T13" s="67" t="str">
        <f aca="false">IF(S13&lt;&gt;"",S13,IF(Q13&lt;&gt;"",Q13,IF(O13&lt;&gt;"",O13,IF(M13&lt;&gt;"",M13,IF(K13&lt;&gt;"",K13,IF(I13&lt;&gt;"",I13,""))))))</f>
        <v/>
      </c>
      <c r="U13" s="68" t="str">
        <f aca="false">IF(B13="hold final","al fallo",IF(T13="",F13&amp;" (piso)",IF(AND(T13&gt;=G13,IF(AND(S13&lt;&gt;"",TRUE()),Q13,IF(AND(Q13&lt;&gt;"",S13=""),O13,IF(AND(O13&lt;&gt;"",Q13=""),M13,IF(AND(M13&lt;&gt;"",O13=""),K13,IF(AND(K13&lt;&gt;"",M13=""),I13,0)))))&gt;=G13),F13&amp;" (piso, progresión nueva)",MIN(G13,T13+IF(E13="s",Reglas!$C$7,Reglas!$C$6)))))</f>
        <v>al fallo</v>
      </c>
      <c r="V13" s="69" t="str">
        <f aca="false">IF(B13="hold final","",IF(T13="","sin datos",IF(AND(T13&gt;=G13,IF(AND(S13&lt;&gt;"",TRUE()),Q13,IF(AND(Q13&lt;&gt;"",S13=""),O13,IF(AND(O13&lt;&gt;"",Q13=""),M13,IF(AND(M13&lt;&gt;"",O13=""),K13,IF(AND(K13&lt;&gt;"",M13=""),I13,0)))))&gt;=G13),"⬆ SUBIR de progresión",IF(T13&gt;=G13,"techo 1 de 2",IF(T13&lt;F13,"bajo el piso: revisar","en rango")))))</f>
        <v/>
      </c>
      <c r="W13" s="73"/>
      <c r="X13" s="73"/>
      <c r="Y13" s="73"/>
      <c r="Z13" s="73"/>
    </row>
    <row r="15" customFormat="false" ht="19.5" hidden="false" customHeight="true" outlineLevel="0" collapsed="false">
      <c r="A15" s="30" t="s">
        <v>104</v>
      </c>
      <c r="B15" s="31" t="s">
        <v>83</v>
      </c>
      <c r="C15" s="32" t="s">
        <v>88</v>
      </c>
      <c r="D15" s="32" t="s">
        <v>93</v>
      </c>
      <c r="E15" s="32" t="s">
        <v>94</v>
      </c>
      <c r="F15" s="33" t="n">
        <f aca="false">IF(E15="reps",3,4)</f>
        <v>3</v>
      </c>
      <c r="G15" s="33" t="n">
        <f aca="false">IF(E15="reps",8,12)</f>
        <v>8</v>
      </c>
      <c r="H15" s="34" t="n">
        <f aca="false">F15</f>
        <v>3</v>
      </c>
      <c r="I15" s="35"/>
      <c r="J15" s="34" t="str">
        <f aca="false">IF(I15="","",IF(FALSE(),F15,MIN(G15,I15+IF(E15="s",Reglas!$C$7,Reglas!$C$6))))</f>
        <v/>
      </c>
      <c r="K15" s="35"/>
      <c r="L15" s="34" t="str">
        <f aca="false">IF(K15="","",IF(AND(K15&gt;=G15,I15&gt;=G15),F15,MIN(G15,K15+IF(E15="s",Reglas!$C$7,Reglas!$C$6))))</f>
        <v/>
      </c>
      <c r="M15" s="35"/>
      <c r="N15" s="34" t="str">
        <f aca="false">IF(M15="","",IF(AND(M15&gt;=G15,K15&gt;=G15),F15,MIN(G15,M15+IF(E15="s",Reglas!$C$7,Reglas!$C$6))))</f>
        <v/>
      </c>
      <c r="O15" s="35"/>
      <c r="P15" s="34" t="str">
        <f aca="false">IF(O15="","",IF(AND(O15&gt;=G15,M15&gt;=G15),F15,MIN(G15,O15+IF(E15="s",Reglas!$C$7,Reglas!$C$6))))</f>
        <v/>
      </c>
      <c r="Q15" s="35"/>
      <c r="R15" s="34" t="str">
        <f aca="false">IF(Q15="","",IF(AND(Q15&gt;=G15,O15&gt;=G15),F15,MIN(G15,Q15+IF(E15="s",Reglas!$C$7,Reglas!$C$6))))</f>
        <v/>
      </c>
      <c r="S15" s="35"/>
      <c r="T15" s="36" t="str">
        <f aca="false">IF(S15&lt;&gt;"",S15,IF(Q15&lt;&gt;"",Q15,IF(O15&lt;&gt;"",O15,IF(M15&lt;&gt;"",M15,IF(K15&lt;&gt;"",K15,IF(I15&lt;&gt;"",I15,""))))))</f>
        <v/>
      </c>
      <c r="U15" s="37" t="str">
        <f aca="false">IF(B15="hold final","al fallo",IF(T15="",F15&amp;" (piso)",IF(AND(T15&gt;=G15,IF(AND(S15&lt;&gt;"",TRUE()),Q15,IF(AND(Q15&lt;&gt;"",S15=""),O15,IF(AND(O15&lt;&gt;"",Q15=""),M15,IF(AND(M15&lt;&gt;"",O15=""),K15,IF(AND(K15&lt;&gt;"",M15=""),I15,0)))))&gt;=G15),F15&amp;" (piso, progresión nueva)",MIN(G15,T15+IF(E15="s",Reglas!$C$7,Reglas!$C$6)))))</f>
        <v>3 (piso)</v>
      </c>
      <c r="V15" s="38" t="str">
        <f aca="false">IF(B15="hold final","",IF(T15="","sin datos",IF(AND(T15&gt;=G15,IF(AND(S15&lt;&gt;"",TRUE()),Q15,IF(AND(Q15&lt;&gt;"",S15=""),O15,IF(AND(O15&lt;&gt;"",Q15=""),M15,IF(AND(M15&lt;&gt;"",O15=""),K15,IF(AND(K15&lt;&gt;"",M15=""),I15,0)))))&gt;=G15),"⬆ SUBIR de progresión",IF(T15&gt;=G15,"techo 1 de 2",IF(T15&lt;F15,"bajo el piso: revisar","en rango")))))</f>
        <v>sin datos</v>
      </c>
      <c r="W15" s="39" t="n">
        <f aca="false">IF(AND(I15&lt;&gt;"",H15&lt;&gt;""),IF(I15&gt;=H15,1,0),0)+IF(AND(K15&lt;&gt;"",J15&lt;&gt;""),IF(K15&gt;=J15,1,0),0)+IF(AND(M15&lt;&gt;"",L15&lt;&gt;""),IF(M15&gt;=L15,1,0),0)+IF(AND(O15&lt;&gt;"",N15&lt;&gt;""),IF(O15&gt;=N15,1,0),0)+IF(AND(Q15&lt;&gt;"",P15&lt;&gt;""),IF(Q15&gt;=P15,1,0),0)+IF(AND(S15&lt;&gt;"",R15&lt;&gt;""),IF(S15&gt;=R15,1,0),0)</f>
        <v>0</v>
      </c>
      <c r="X15" s="39" t="n">
        <f aca="false">IF(AND(I15&lt;&gt;"",H15&lt;&gt;""),1,0)+IF(AND(K15&lt;&gt;"",J15&lt;&gt;""),1,0)+IF(AND(M15&lt;&gt;"",L15&lt;&gt;""),1,0)+IF(AND(O15&lt;&gt;"",N15&lt;&gt;""),1,0)+IF(AND(Q15&lt;&gt;"",P15&lt;&gt;""),1,0)+IF(AND(S15&lt;&gt;"",R15&lt;&gt;""),1,0)</f>
        <v>0</v>
      </c>
      <c r="Y15" s="40" t="str">
        <f aca="false">IF(X15=0,"",W15/X15)</f>
        <v/>
      </c>
      <c r="Z15" s="41" t="str">
        <f aca="false">IF(X15=0,"",(IF(AND(I15&lt;&gt;"",H15&lt;&gt;""),I15-H15,0)+IF(AND(K15&lt;&gt;"",J15&lt;&gt;""),K15-J15,0)+IF(AND(M15&lt;&gt;"",L15&lt;&gt;""),M15-L15,0)+IF(AND(O15&lt;&gt;"",N15&lt;&gt;""),O15-N15,0)+IF(AND(Q15&lt;&gt;"",P15&lt;&gt;""),Q15-P15,0)+IF(AND(S15&lt;&gt;"",R15&lt;&gt;""),S15-R15,0))/X15)</f>
        <v/>
      </c>
    </row>
    <row r="16" customFormat="false" ht="19.5" hidden="false" customHeight="true" outlineLevel="0" collapsed="false">
      <c r="A16" s="42"/>
      <c r="B16" s="43" t="s">
        <v>87</v>
      </c>
      <c r="C16" s="44" t="s">
        <v>88</v>
      </c>
      <c r="D16" s="44" t="s">
        <v>95</v>
      </c>
      <c r="E16" s="44" t="s">
        <v>94</v>
      </c>
      <c r="F16" s="45" t="n">
        <f aca="false">IF(E16="reps",3,4)</f>
        <v>3</v>
      </c>
      <c r="G16" s="45" t="n">
        <f aca="false">IF(E16="reps",8,12)</f>
        <v>8</v>
      </c>
      <c r="H16" s="46" t="n">
        <f aca="false">F16</f>
        <v>3</v>
      </c>
      <c r="I16" s="47"/>
      <c r="J16" s="46" t="str">
        <f aca="false">IF(I16="","",IF(FALSE(),F16,MIN(G16,I16+IF(E16="s",Reglas!$C$7,Reglas!$C$6))))</f>
        <v/>
      </c>
      <c r="K16" s="47"/>
      <c r="L16" s="46" t="str">
        <f aca="false">IF(K16="","",IF(AND(K16&gt;=G16,I16&gt;=G16),F16,MIN(G16,K16+IF(E16="s",Reglas!$C$7,Reglas!$C$6))))</f>
        <v/>
      </c>
      <c r="M16" s="47"/>
      <c r="N16" s="46" t="str">
        <f aca="false">IF(M16="","",IF(AND(M16&gt;=G16,K16&gt;=G16),F16,MIN(G16,M16+IF(E16="s",Reglas!$C$7,Reglas!$C$6))))</f>
        <v/>
      </c>
      <c r="O16" s="47"/>
      <c r="P16" s="46" t="str">
        <f aca="false">IF(O16="","",IF(AND(O16&gt;=G16,M16&gt;=G16),F16,MIN(G16,O16+IF(E16="s",Reglas!$C$7,Reglas!$C$6))))</f>
        <v/>
      </c>
      <c r="Q16" s="47"/>
      <c r="R16" s="46" t="str">
        <f aca="false">IF(Q16="","",IF(AND(Q16&gt;=G16,O16&gt;=G16),F16,MIN(G16,Q16+IF(E16="s",Reglas!$C$7,Reglas!$C$6))))</f>
        <v/>
      </c>
      <c r="S16" s="47"/>
      <c r="T16" s="48" t="str">
        <f aca="false">IF(S16&lt;&gt;"",S16,IF(Q16&lt;&gt;"",Q16,IF(O16&lt;&gt;"",O16,IF(M16&lt;&gt;"",M16,IF(K16&lt;&gt;"",K16,IF(I16&lt;&gt;"",I16,""))))))</f>
        <v/>
      </c>
      <c r="U16" s="49" t="str">
        <f aca="false">IF(B16="hold final","al fallo",IF(T16="",F16&amp;" (piso)",IF(AND(T16&gt;=G16,IF(AND(S16&lt;&gt;"",TRUE()),Q16,IF(AND(Q16&lt;&gt;"",S16=""),O16,IF(AND(O16&lt;&gt;"",Q16=""),M16,IF(AND(M16&lt;&gt;"",O16=""),K16,IF(AND(K16&lt;&gt;"",M16=""),I16,0)))))&gt;=G16),F16&amp;" (piso, progresión nueva)",MIN(G16,T16+IF(E16="s",Reglas!$C$7,Reglas!$C$6)))))</f>
        <v>3 (piso)</v>
      </c>
      <c r="V16" s="50" t="str">
        <f aca="false">IF(B16="hold final","",IF(T16="","sin datos",IF(AND(T16&gt;=G16,IF(AND(S16&lt;&gt;"",TRUE()),Q16,IF(AND(Q16&lt;&gt;"",S16=""),O16,IF(AND(O16&lt;&gt;"",Q16=""),M16,IF(AND(M16&lt;&gt;"",O16=""),K16,IF(AND(K16&lt;&gt;"",M16=""),I16,0)))))&gt;=G16),"⬆ SUBIR de progresión",IF(T16&gt;=G16,"techo 1 de 2",IF(T16&lt;F16,"bajo el piso: revisar","en rango")))))</f>
        <v>sin datos</v>
      </c>
      <c r="W16" s="21" t="n">
        <f aca="false">IF(AND(I16&lt;&gt;"",H16&lt;&gt;""),IF(I16&gt;=H16,1,0),0)+IF(AND(K16&lt;&gt;"",J16&lt;&gt;""),IF(K16&gt;=J16,1,0),0)+IF(AND(M16&lt;&gt;"",L16&lt;&gt;""),IF(M16&gt;=L16,1,0),0)+IF(AND(O16&lt;&gt;"",N16&lt;&gt;""),IF(O16&gt;=N16,1,0),0)+IF(AND(Q16&lt;&gt;"",P16&lt;&gt;""),IF(Q16&gt;=P16,1,0),0)+IF(AND(S16&lt;&gt;"",R16&lt;&gt;""),IF(S16&gt;=R16,1,0),0)</f>
        <v>0</v>
      </c>
      <c r="X16" s="21" t="n">
        <f aca="false">IF(AND(I16&lt;&gt;"",H16&lt;&gt;""),1,0)+IF(AND(K16&lt;&gt;"",J16&lt;&gt;""),1,0)+IF(AND(M16&lt;&gt;"",L16&lt;&gt;""),1,0)+IF(AND(O16&lt;&gt;"",N16&lt;&gt;""),1,0)+IF(AND(Q16&lt;&gt;"",P16&lt;&gt;""),1,0)+IF(AND(S16&lt;&gt;"",R16&lt;&gt;""),1,0)</f>
        <v>0</v>
      </c>
      <c r="Y16" s="51" t="str">
        <f aca="false">IF(X16=0,"",W16/X16)</f>
        <v/>
      </c>
      <c r="Z16" s="52" t="str">
        <f aca="false">IF(X16=0,"",(IF(AND(I16&lt;&gt;"",H16&lt;&gt;""),I16-H16,0)+IF(AND(K16&lt;&gt;"",J16&lt;&gt;""),K16-J16,0)+IF(AND(M16&lt;&gt;"",L16&lt;&gt;""),M16-L16,0)+IF(AND(O16&lt;&gt;"",N16&lt;&gt;""),O16-N16,0)+IF(AND(Q16&lt;&gt;"",P16&lt;&gt;""),Q16-P16,0)+IF(AND(S16&lt;&gt;"",R16&lt;&gt;""),S16-R16,0))/X16)</f>
        <v/>
      </c>
    </row>
    <row r="17" customFormat="false" ht="19.5" hidden="false" customHeight="true" outlineLevel="0" collapsed="false">
      <c r="A17" s="42"/>
      <c r="B17" s="43" t="s">
        <v>89</v>
      </c>
      <c r="C17" s="44" t="s">
        <v>49</v>
      </c>
      <c r="D17" s="44" t="s">
        <v>93</v>
      </c>
      <c r="E17" s="44" t="s">
        <v>94</v>
      </c>
      <c r="F17" s="45" t="n">
        <f aca="false">IF(E17="reps",3,4)</f>
        <v>3</v>
      </c>
      <c r="G17" s="45" t="n">
        <f aca="false">IF(E17="reps",8,12)</f>
        <v>8</v>
      </c>
      <c r="H17" s="46" t="n">
        <f aca="false">F17</f>
        <v>3</v>
      </c>
      <c r="I17" s="47"/>
      <c r="J17" s="46" t="str">
        <f aca="false">IF(I17="","",IF(FALSE(),F17,MIN(G17,I17+IF(E17="s",Reglas!$C$7,Reglas!$C$6))))</f>
        <v/>
      </c>
      <c r="K17" s="47"/>
      <c r="L17" s="46" t="str">
        <f aca="false">IF(K17="","",IF(AND(K17&gt;=G17,I17&gt;=G17),F17,MIN(G17,K17+IF(E17="s",Reglas!$C$7,Reglas!$C$6))))</f>
        <v/>
      </c>
      <c r="M17" s="47"/>
      <c r="N17" s="46" t="str">
        <f aca="false">IF(M17="","",IF(AND(M17&gt;=G17,K17&gt;=G17),F17,MIN(G17,M17+IF(E17="s",Reglas!$C$7,Reglas!$C$6))))</f>
        <v/>
      </c>
      <c r="O17" s="47"/>
      <c r="P17" s="46" t="str">
        <f aca="false">IF(O17="","",IF(AND(O17&gt;=G17,M17&gt;=G17),F17,MIN(G17,O17+IF(E17="s",Reglas!$C$7,Reglas!$C$6))))</f>
        <v/>
      </c>
      <c r="Q17" s="47"/>
      <c r="R17" s="46" t="str">
        <f aca="false">IF(Q17="","",IF(AND(Q17&gt;=G17,O17&gt;=G17),F17,MIN(G17,Q17+IF(E17="s",Reglas!$C$7,Reglas!$C$6))))</f>
        <v/>
      </c>
      <c r="S17" s="47"/>
      <c r="T17" s="48" t="str">
        <f aca="false">IF(S17&lt;&gt;"",S17,IF(Q17&lt;&gt;"",Q17,IF(O17&lt;&gt;"",O17,IF(M17&lt;&gt;"",M17,IF(K17&lt;&gt;"",K17,IF(I17&lt;&gt;"",I17,""))))))</f>
        <v/>
      </c>
      <c r="U17" s="49" t="str">
        <f aca="false">IF(B17="hold final","al fallo",IF(T17="",F17&amp;" (piso)",IF(AND(T17&gt;=G17,IF(AND(S17&lt;&gt;"",TRUE()),Q17,IF(AND(Q17&lt;&gt;"",S17=""),O17,IF(AND(O17&lt;&gt;"",Q17=""),M17,IF(AND(M17&lt;&gt;"",O17=""),K17,IF(AND(K17&lt;&gt;"",M17=""),I17,0)))))&gt;=G17),F17&amp;" (piso, progresión nueva)",MIN(G17,T17+IF(E17="s",Reglas!$C$7,Reglas!$C$6)))))</f>
        <v>3 (piso)</v>
      </c>
      <c r="V17" s="50" t="str">
        <f aca="false">IF(B17="hold final","",IF(T17="","sin datos",IF(AND(T17&gt;=G17,IF(AND(S17&lt;&gt;"",TRUE()),Q17,IF(AND(Q17&lt;&gt;"",S17=""),O17,IF(AND(O17&lt;&gt;"",Q17=""),M17,IF(AND(M17&lt;&gt;"",O17=""),K17,IF(AND(K17&lt;&gt;"",M17=""),I17,0)))))&gt;=G17),"⬆ SUBIR de progresión",IF(T17&gt;=G17,"techo 1 de 2",IF(T17&lt;F17,"bajo el piso: revisar","en rango")))))</f>
        <v>sin datos</v>
      </c>
      <c r="W17" s="21" t="n">
        <f aca="false">IF(AND(I17&lt;&gt;"",H17&lt;&gt;""),IF(I17&gt;=H17,1,0),0)+IF(AND(K17&lt;&gt;"",J17&lt;&gt;""),IF(K17&gt;=J17,1,0),0)+IF(AND(M17&lt;&gt;"",L17&lt;&gt;""),IF(M17&gt;=L17,1,0),0)+IF(AND(O17&lt;&gt;"",N17&lt;&gt;""),IF(O17&gt;=N17,1,0),0)+IF(AND(Q17&lt;&gt;"",P17&lt;&gt;""),IF(Q17&gt;=P17,1,0),0)+IF(AND(S17&lt;&gt;"",R17&lt;&gt;""),IF(S17&gt;=R17,1,0),0)</f>
        <v>0</v>
      </c>
      <c r="X17" s="21" t="n">
        <f aca="false">IF(AND(I17&lt;&gt;"",H17&lt;&gt;""),1,0)+IF(AND(K17&lt;&gt;"",J17&lt;&gt;""),1,0)+IF(AND(M17&lt;&gt;"",L17&lt;&gt;""),1,0)+IF(AND(O17&lt;&gt;"",N17&lt;&gt;""),1,0)+IF(AND(Q17&lt;&gt;"",P17&lt;&gt;""),1,0)+IF(AND(S17&lt;&gt;"",R17&lt;&gt;""),1,0)</f>
        <v>0</v>
      </c>
      <c r="Y17" s="51" t="str">
        <f aca="false">IF(X17=0,"",W17/X17)</f>
        <v/>
      </c>
      <c r="Z17" s="52" t="str">
        <f aca="false">IF(X17=0,"",(IF(AND(I17&lt;&gt;"",H17&lt;&gt;""),I17-H17,0)+IF(AND(K17&lt;&gt;"",J17&lt;&gt;""),K17-J17,0)+IF(AND(M17&lt;&gt;"",L17&lt;&gt;""),M17-L17,0)+IF(AND(O17&lt;&gt;"",N17&lt;&gt;""),O17-N17,0)+IF(AND(Q17&lt;&gt;"",P17&lt;&gt;""),Q17-P17,0)+IF(AND(S17&lt;&gt;"",R17&lt;&gt;""),S17-R17,0))/X17)</f>
        <v/>
      </c>
    </row>
    <row r="18" customFormat="false" ht="19.5" hidden="false" customHeight="true" outlineLevel="0" collapsed="false">
      <c r="A18" s="42"/>
      <c r="B18" s="53" t="s">
        <v>90</v>
      </c>
      <c r="C18" s="44" t="s">
        <v>50</v>
      </c>
      <c r="D18" s="44" t="s">
        <v>85</v>
      </c>
      <c r="E18" s="44" t="s">
        <v>86</v>
      </c>
      <c r="F18" s="45" t="n">
        <f aca="false">IF(E18="reps",3,4)</f>
        <v>4</v>
      </c>
      <c r="G18" s="45" t="n">
        <f aca="false">IF(E18="reps",8,12)</f>
        <v>12</v>
      </c>
      <c r="H18" s="46" t="s">
        <v>91</v>
      </c>
      <c r="I18" s="47"/>
      <c r="J18" s="46" t="s">
        <v>91</v>
      </c>
      <c r="K18" s="47"/>
      <c r="L18" s="46" t="s">
        <v>91</v>
      </c>
      <c r="M18" s="47"/>
      <c r="N18" s="46" t="s">
        <v>91</v>
      </c>
      <c r="O18" s="47"/>
      <c r="P18" s="46" t="s">
        <v>91</v>
      </c>
      <c r="Q18" s="47"/>
      <c r="R18" s="46" t="s">
        <v>91</v>
      </c>
      <c r="S18" s="47"/>
      <c r="T18" s="48" t="str">
        <f aca="false">IF(S18&lt;&gt;"",S18,IF(Q18&lt;&gt;"",Q18,IF(O18&lt;&gt;"",O18,IF(M18&lt;&gt;"",M18,IF(K18&lt;&gt;"",K18,IF(I18&lt;&gt;"",I18,""))))))</f>
        <v/>
      </c>
      <c r="U18" s="49" t="str">
        <f aca="false">IF(B18="hold final","al fallo",IF(T18="",F18&amp;" (piso)",IF(AND(T18&gt;=G18,IF(AND(S18&lt;&gt;"",TRUE()),Q18,IF(AND(Q18&lt;&gt;"",S18=""),O18,IF(AND(O18&lt;&gt;"",Q18=""),M18,IF(AND(M18&lt;&gt;"",O18=""),K18,IF(AND(K18&lt;&gt;"",M18=""),I18,0)))))&gt;=G18),F18&amp;" (piso, progresión nueva)",MIN(G18,T18+IF(E18="s",Reglas!$C$7,Reglas!$C$6)))))</f>
        <v>al fallo</v>
      </c>
      <c r="V18" s="50" t="str">
        <f aca="false">IF(B18="hold final","",IF(T18="","sin datos",IF(AND(T18&gt;=G18,IF(AND(S18&lt;&gt;"",TRUE()),Q18,IF(AND(Q18&lt;&gt;"",S18=""),O18,IF(AND(O18&lt;&gt;"",Q18=""),M18,IF(AND(M18&lt;&gt;"",O18=""),K18,IF(AND(K18&lt;&gt;"",M18=""),I18,0)))))&gt;=G18),"⬆ SUBIR de progresión",IF(T18&gt;=G18,"techo 1 de 2",IF(T18&lt;F18,"bajo el piso: revisar","en rango")))))</f>
        <v/>
      </c>
      <c r="W18" s="54"/>
      <c r="X18" s="54"/>
      <c r="Y18" s="54"/>
      <c r="Z18" s="54"/>
    </row>
  </sheetData>
  <conditionalFormatting sqref="V5:V20">
    <cfRule type="expression" priority="2" aboveAverage="0" equalAverage="0" bottom="0" percent="0" rank="0" text="" dxfId="0">
      <formula>LEFT(V5,1)="⬆"</formula>
    </cfRule>
    <cfRule type="expression" priority="3" aboveAverage="0" equalAverage="0" bottom="0" percent="0" rank="0" text="" dxfId="1">
      <formula>V5="techo 1 de 2"</formula>
    </cfRule>
    <cfRule type="expression" priority="4" aboveAverage="0" equalAverage="0" bottom="0" percent="0" rank="0" text="" dxfId="2">
      <formula>LEFT(V5,4)="bajo"</formula>
    </cfRule>
  </conditionalFormatting>
  <dataValidations count="3">
    <dataValidation allowBlank="true" errorStyle="stop" operator="between" showDropDown="false" showErrorMessage="false" showInputMessage="false" sqref="D5:D8 D10:D13 D15:D18" type="list">
      <formula1>"completa,negativa,hold"</formula1>
      <formula2>0</formula2>
    </dataValidation>
    <dataValidation allowBlank="true" errorStyle="stop" operator="between" showDropDown="false" showErrorMessage="false" showInputMessage="false" sqref="E5:E8 E10:E13 E15:E18" type="list">
      <formula1>"reps,s"</formula1>
      <formula2>0</formula2>
    </dataValidation>
    <dataValidation allowBlank="true" errorStyle="stop" operator="between" showDropDown="false" showErrorMessage="false" showInputMessage="false" sqref="C5:C8 C10:C13 C15:C18" type="list">
      <formula1>"full,half lay,straddle,super adv tuck,adv tuck,tuck,lean"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31D44"/>
    <pageSetUpPr fitToPage="false"/>
  </sheetPr>
  <dimension ref="A1:Z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9"/>
    <col collapsed="false" customWidth="true" hidden="false" outlineLevel="0" max="2" min="2" style="1" width="9"/>
    <col collapsed="false" customWidth="true" hidden="false" outlineLevel="0" max="3" min="3" style="1" width="20"/>
    <col collapsed="false" customWidth="true" hidden="false" outlineLevel="0" max="4" min="4" style="1" width="10"/>
    <col collapsed="false" customWidth="true" hidden="false" outlineLevel="0" max="5" min="5" style="1" width="6"/>
    <col collapsed="false" customWidth="true" hidden="false" outlineLevel="0" max="6" min="6" style="1" width="5"/>
    <col collapsed="false" customWidth="true" hidden="false" outlineLevel="0" max="7" min="7" style="1" width="6"/>
    <col collapsed="false" customWidth="true" hidden="false" outlineLevel="0" max="20" min="8" style="1" width="7"/>
    <col collapsed="false" customWidth="true" hidden="false" outlineLevel="0" max="21" min="21" style="1" width="14"/>
    <col collapsed="false" customWidth="true" hidden="false" outlineLevel="0" max="22" min="22" style="1" width="26"/>
    <col collapsed="false" customWidth="true" hidden="false" outlineLevel="0" max="24" min="23" style="1" width="8"/>
    <col collapsed="false" customWidth="true" hidden="false" outlineLevel="0" max="25" min="25" style="1" width="9"/>
    <col collapsed="false" customWidth="true" hidden="false" outlineLevel="0" max="26" min="26" style="1" width="8"/>
  </cols>
  <sheetData>
    <row r="1" customFormat="false" ht="19.5" hidden="false" customHeight="true" outlineLevel="0" collapsed="false">
      <c r="A1" s="14" t="s">
        <v>0</v>
      </c>
      <c r="B1" s="2"/>
      <c r="C1" s="2"/>
      <c r="D1" s="2"/>
      <c r="E1" s="2"/>
      <c r="F1" s="2"/>
      <c r="G1" s="2"/>
      <c r="H1" s="2"/>
      <c r="I1" s="2"/>
      <c r="J1" s="2"/>
      <c r="K1" s="2"/>
      <c r="L1" s="2"/>
      <c r="M1" s="2"/>
      <c r="N1" s="2"/>
      <c r="O1" s="2"/>
      <c r="P1" s="2"/>
      <c r="Q1" s="2"/>
      <c r="R1" s="2"/>
      <c r="S1" s="2"/>
      <c r="T1" s="2"/>
      <c r="U1" s="2"/>
      <c r="V1" s="2"/>
      <c r="W1" s="2"/>
      <c r="X1" s="2"/>
      <c r="Y1" s="2"/>
      <c r="Z1" s="2"/>
    </row>
    <row r="2" customFormat="false" ht="15" hidden="false" customHeight="true" outlineLevel="0" collapsed="false">
      <c r="A2" s="28" t="s">
        <v>105</v>
      </c>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15" t="s">
        <v>101</v>
      </c>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29" t="s">
        <v>58</v>
      </c>
      <c r="B4" s="29" t="s">
        <v>59</v>
      </c>
      <c r="C4" s="29" t="s">
        <v>48</v>
      </c>
      <c r="D4" s="29" t="s">
        <v>60</v>
      </c>
      <c r="E4" s="29" t="s">
        <v>61</v>
      </c>
      <c r="F4" s="29" t="s">
        <v>62</v>
      </c>
      <c r="G4" s="29" t="s">
        <v>63</v>
      </c>
      <c r="H4" s="29" t="s">
        <v>64</v>
      </c>
      <c r="I4" s="29" t="s">
        <v>65</v>
      </c>
      <c r="J4" s="29" t="s">
        <v>66</v>
      </c>
      <c r="K4" s="29" t="s">
        <v>67</v>
      </c>
      <c r="L4" s="29" t="s">
        <v>68</v>
      </c>
      <c r="M4" s="29" t="s">
        <v>69</v>
      </c>
      <c r="N4" s="29" t="s">
        <v>70</v>
      </c>
      <c r="O4" s="29" t="s">
        <v>71</v>
      </c>
      <c r="P4" s="29" t="s">
        <v>72</v>
      </c>
      <c r="Q4" s="29" t="s">
        <v>73</v>
      </c>
      <c r="R4" s="29" t="s">
        <v>74</v>
      </c>
      <c r="S4" s="29" t="s">
        <v>75</v>
      </c>
      <c r="T4" s="29" t="s">
        <v>76</v>
      </c>
      <c r="U4" s="29" t="s">
        <v>77</v>
      </c>
      <c r="V4" s="29" t="s">
        <v>51</v>
      </c>
      <c r="W4" s="29" t="s">
        <v>78</v>
      </c>
      <c r="X4" s="29" t="s">
        <v>79</v>
      </c>
      <c r="Y4" s="29" t="s">
        <v>80</v>
      </c>
      <c r="Z4" s="29" t="s">
        <v>81</v>
      </c>
    </row>
    <row r="5" customFormat="false" ht="19.5" hidden="false" customHeight="true" outlineLevel="0" collapsed="false">
      <c r="A5" s="30" t="s">
        <v>106</v>
      </c>
      <c r="B5" s="31" t="s">
        <v>83</v>
      </c>
      <c r="C5" s="32" t="s">
        <v>107</v>
      </c>
      <c r="D5" s="32" t="s">
        <v>93</v>
      </c>
      <c r="E5" s="32" t="s">
        <v>94</v>
      </c>
      <c r="F5" s="33" t="n">
        <f aca="false">IF(E5="reps",3,4)</f>
        <v>3</v>
      </c>
      <c r="G5" s="33" t="n">
        <f aca="false">IF(E5="reps",8,12)</f>
        <v>8</v>
      </c>
      <c r="H5" s="34" t="n">
        <f aca="false">F5</f>
        <v>3</v>
      </c>
      <c r="I5" s="35"/>
      <c r="J5" s="34" t="str">
        <f aca="false">IF(I5="","",IF(FALSE(),F5,MIN(G5,I5+IF(E5="s",Reglas!$C$7,Reglas!$C$6))))</f>
        <v/>
      </c>
      <c r="K5" s="35"/>
      <c r="L5" s="34" t="str">
        <f aca="false">IF(K5="","",IF(AND(K5&gt;=G5,I5&gt;=G5),F5,MIN(G5,K5+IF(E5="s",Reglas!$C$7,Reglas!$C$6))))</f>
        <v/>
      </c>
      <c r="M5" s="35"/>
      <c r="N5" s="34" t="str">
        <f aca="false">IF(M5="","",IF(AND(M5&gt;=G5,K5&gt;=G5),F5,MIN(G5,M5+IF(E5="s",Reglas!$C$7,Reglas!$C$6))))</f>
        <v/>
      </c>
      <c r="O5" s="35"/>
      <c r="P5" s="34" t="str">
        <f aca="false">IF(O5="","",IF(AND(O5&gt;=G5,M5&gt;=G5),F5,MIN(G5,O5+IF(E5="s",Reglas!$C$7,Reglas!$C$6))))</f>
        <v/>
      </c>
      <c r="Q5" s="35"/>
      <c r="R5" s="34" t="str">
        <f aca="false">IF(Q5="","",IF(AND(Q5&gt;=G5,O5&gt;=G5),F5,MIN(G5,Q5+IF(E5="s",Reglas!$C$7,Reglas!$C$6))))</f>
        <v/>
      </c>
      <c r="S5" s="35"/>
      <c r="T5" s="36" t="str">
        <f aca="false">IF(S5&lt;&gt;"",S5,IF(Q5&lt;&gt;"",Q5,IF(O5&lt;&gt;"",O5,IF(M5&lt;&gt;"",M5,IF(K5&lt;&gt;"",K5,IF(I5&lt;&gt;"",I5,""))))))</f>
        <v/>
      </c>
      <c r="U5" s="37" t="str">
        <f aca="false">IF(B5="hold final","al fallo",IF(T5="",F5&amp;" (piso)",IF(AND(T5&gt;=G5,IF(AND(S5&lt;&gt;"",TRUE()),Q5,IF(AND(Q5&lt;&gt;"",S5=""),O5,IF(AND(O5&lt;&gt;"",Q5=""),M5,IF(AND(M5&lt;&gt;"",O5=""),K5,IF(AND(K5&lt;&gt;"",M5=""),I5,0)))))&gt;=G5),F5&amp;" (piso, progresión nueva)",MIN(G5,T5+IF(E5="s",Reglas!$C$7,Reglas!$C$6)))))</f>
        <v>3 (piso)</v>
      </c>
      <c r="V5" s="38" t="str">
        <f aca="false">IF(B5="hold final","",IF(T5="","sin datos",IF(AND(T5&gt;=G5,IF(AND(S5&lt;&gt;"",TRUE()),Q5,IF(AND(Q5&lt;&gt;"",S5=""),O5,IF(AND(O5&lt;&gt;"",Q5=""),M5,IF(AND(M5&lt;&gt;"",O5=""),K5,IF(AND(K5&lt;&gt;"",M5=""),I5,0)))))&gt;=G5),"⬆ SUBIR de progresión",IF(T5&gt;=G5,"techo 1 de 2",IF(T5&lt;F5,"bajo el piso: revisar","en rango")))))</f>
        <v>sin datos</v>
      </c>
      <c r="W5" s="39" t="n">
        <f aca="false">IF(AND(I5&lt;&gt;"",H5&lt;&gt;""),IF(I5&gt;=H5,1,0),0)+IF(AND(K5&lt;&gt;"",J5&lt;&gt;""),IF(K5&gt;=J5,1,0),0)+IF(AND(M5&lt;&gt;"",L5&lt;&gt;""),IF(M5&gt;=L5,1,0),0)+IF(AND(O5&lt;&gt;"",N5&lt;&gt;""),IF(O5&gt;=N5,1,0),0)+IF(AND(Q5&lt;&gt;"",P5&lt;&gt;""),IF(Q5&gt;=P5,1,0),0)+IF(AND(S5&lt;&gt;"",R5&lt;&gt;""),IF(S5&gt;=R5,1,0),0)</f>
        <v>0</v>
      </c>
      <c r="X5" s="39" t="n">
        <f aca="false">IF(AND(I5&lt;&gt;"",H5&lt;&gt;""),1,0)+IF(AND(K5&lt;&gt;"",J5&lt;&gt;""),1,0)+IF(AND(M5&lt;&gt;"",L5&lt;&gt;""),1,0)+IF(AND(O5&lt;&gt;"",N5&lt;&gt;""),1,0)+IF(AND(Q5&lt;&gt;"",P5&lt;&gt;""),1,0)+IF(AND(S5&lt;&gt;"",R5&lt;&gt;""),1,0)</f>
        <v>0</v>
      </c>
      <c r="Y5" s="40" t="str">
        <f aca="false">IF(X5=0,"",W5/X5)</f>
        <v/>
      </c>
      <c r="Z5" s="41" t="str">
        <f aca="false">IF(X5=0,"",(IF(AND(I5&lt;&gt;"",H5&lt;&gt;""),I5-H5,0)+IF(AND(K5&lt;&gt;"",J5&lt;&gt;""),K5-J5,0)+IF(AND(M5&lt;&gt;"",L5&lt;&gt;""),M5-L5,0)+IF(AND(O5&lt;&gt;"",N5&lt;&gt;""),O5-N5,0)+IF(AND(Q5&lt;&gt;"",P5&lt;&gt;""),Q5-P5,0)+IF(AND(S5&lt;&gt;"",R5&lt;&gt;""),S5-R5,0))/X5)</f>
        <v/>
      </c>
    </row>
    <row r="6" customFormat="false" ht="19.5" hidden="false" customHeight="true" outlineLevel="0" collapsed="false">
      <c r="A6" s="42"/>
      <c r="B6" s="43" t="s">
        <v>87</v>
      </c>
      <c r="C6" s="44" t="s">
        <v>107</v>
      </c>
      <c r="D6" s="44" t="s">
        <v>95</v>
      </c>
      <c r="E6" s="44" t="s">
        <v>94</v>
      </c>
      <c r="F6" s="45" t="n">
        <f aca="false">IF(E6="reps",3,4)</f>
        <v>3</v>
      </c>
      <c r="G6" s="45" t="n">
        <f aca="false">IF(E6="reps",8,12)</f>
        <v>8</v>
      </c>
      <c r="H6" s="46" t="n">
        <f aca="false">F6</f>
        <v>3</v>
      </c>
      <c r="I6" s="47"/>
      <c r="J6" s="46" t="str">
        <f aca="false">IF(I6="","",IF(FALSE(),F6,MIN(G6,I6+IF(E6="s",Reglas!$C$7,Reglas!$C$6))))</f>
        <v/>
      </c>
      <c r="K6" s="47"/>
      <c r="L6" s="46" t="str">
        <f aca="false">IF(K6="","",IF(AND(K6&gt;=G6,I6&gt;=G6),F6,MIN(G6,K6+IF(E6="s",Reglas!$C$7,Reglas!$C$6))))</f>
        <v/>
      </c>
      <c r="M6" s="47"/>
      <c r="N6" s="46" t="str">
        <f aca="false">IF(M6="","",IF(AND(M6&gt;=G6,K6&gt;=G6),F6,MIN(G6,M6+IF(E6="s",Reglas!$C$7,Reglas!$C$6))))</f>
        <v/>
      </c>
      <c r="O6" s="47"/>
      <c r="P6" s="46" t="str">
        <f aca="false">IF(O6="","",IF(AND(O6&gt;=G6,M6&gt;=G6),F6,MIN(G6,O6+IF(E6="s",Reglas!$C$7,Reglas!$C$6))))</f>
        <v/>
      </c>
      <c r="Q6" s="47"/>
      <c r="R6" s="46" t="str">
        <f aca="false">IF(Q6="","",IF(AND(Q6&gt;=G6,O6&gt;=G6),F6,MIN(G6,Q6+IF(E6="s",Reglas!$C$7,Reglas!$C$6))))</f>
        <v/>
      </c>
      <c r="S6" s="47"/>
      <c r="T6" s="48" t="str">
        <f aca="false">IF(S6&lt;&gt;"",S6,IF(Q6&lt;&gt;"",Q6,IF(O6&lt;&gt;"",O6,IF(M6&lt;&gt;"",M6,IF(K6&lt;&gt;"",K6,IF(I6&lt;&gt;"",I6,""))))))</f>
        <v/>
      </c>
      <c r="U6" s="49" t="str">
        <f aca="false">IF(B6="hold final","al fallo",IF(T6="",F6&amp;" (piso)",IF(AND(T6&gt;=G6,IF(AND(S6&lt;&gt;"",TRUE()),Q6,IF(AND(Q6&lt;&gt;"",S6=""),O6,IF(AND(O6&lt;&gt;"",Q6=""),M6,IF(AND(M6&lt;&gt;"",O6=""),K6,IF(AND(K6&lt;&gt;"",M6=""),I6,0)))))&gt;=G6),F6&amp;" (piso, progresión nueva)",MIN(G6,T6+IF(E6="s",Reglas!$C$7,Reglas!$C$6)))))</f>
        <v>3 (piso)</v>
      </c>
      <c r="V6" s="50" t="str">
        <f aca="false">IF(B6="hold final","",IF(T6="","sin datos",IF(AND(T6&gt;=G6,IF(AND(S6&lt;&gt;"",TRUE()),Q6,IF(AND(Q6&lt;&gt;"",S6=""),O6,IF(AND(O6&lt;&gt;"",Q6=""),M6,IF(AND(M6&lt;&gt;"",O6=""),K6,IF(AND(K6&lt;&gt;"",M6=""),I6,0)))))&gt;=G6),"⬆ SUBIR de progresión",IF(T6&gt;=G6,"techo 1 de 2",IF(T6&lt;F6,"bajo el piso: revisar","en rango")))))</f>
        <v>sin datos</v>
      </c>
      <c r="W6" s="21" t="n">
        <f aca="false">IF(AND(I6&lt;&gt;"",H6&lt;&gt;""),IF(I6&gt;=H6,1,0),0)+IF(AND(K6&lt;&gt;"",J6&lt;&gt;""),IF(K6&gt;=J6,1,0),0)+IF(AND(M6&lt;&gt;"",L6&lt;&gt;""),IF(M6&gt;=L6,1,0),0)+IF(AND(O6&lt;&gt;"",N6&lt;&gt;""),IF(O6&gt;=N6,1,0),0)+IF(AND(Q6&lt;&gt;"",P6&lt;&gt;""),IF(Q6&gt;=P6,1,0),0)+IF(AND(S6&lt;&gt;"",R6&lt;&gt;""),IF(S6&gt;=R6,1,0),0)</f>
        <v>0</v>
      </c>
      <c r="X6" s="21" t="n">
        <f aca="false">IF(AND(I6&lt;&gt;"",H6&lt;&gt;""),1,0)+IF(AND(K6&lt;&gt;"",J6&lt;&gt;""),1,0)+IF(AND(M6&lt;&gt;"",L6&lt;&gt;""),1,0)+IF(AND(O6&lt;&gt;"",N6&lt;&gt;""),1,0)+IF(AND(Q6&lt;&gt;"",P6&lt;&gt;""),1,0)+IF(AND(S6&lt;&gt;"",R6&lt;&gt;""),1,0)</f>
        <v>0</v>
      </c>
      <c r="Y6" s="51" t="str">
        <f aca="false">IF(X6=0,"",W6/X6)</f>
        <v/>
      </c>
      <c r="Z6" s="52" t="str">
        <f aca="false">IF(X6=0,"",(IF(AND(I6&lt;&gt;"",H6&lt;&gt;""),I6-H6,0)+IF(AND(K6&lt;&gt;"",J6&lt;&gt;""),K6-J6,0)+IF(AND(M6&lt;&gt;"",L6&lt;&gt;""),M6-L6,0)+IF(AND(O6&lt;&gt;"",N6&lt;&gt;""),O6-N6,0)+IF(AND(Q6&lt;&gt;"",P6&lt;&gt;""),Q6-P6,0)+IF(AND(S6&lt;&gt;"",R6&lt;&gt;""),S6-R6,0))/X6)</f>
        <v/>
      </c>
    </row>
    <row r="7" customFormat="false" ht="19.5" hidden="false" customHeight="true" outlineLevel="0" collapsed="false">
      <c r="A7" s="42"/>
      <c r="B7" s="43" t="s">
        <v>89</v>
      </c>
      <c r="C7" s="44" t="s">
        <v>108</v>
      </c>
      <c r="D7" s="44" t="s">
        <v>93</v>
      </c>
      <c r="E7" s="44" t="s">
        <v>94</v>
      </c>
      <c r="F7" s="45" t="n">
        <f aca="false">IF(E7="reps",3,4)</f>
        <v>3</v>
      </c>
      <c r="G7" s="45" t="n">
        <f aca="false">IF(E7="reps",8,12)</f>
        <v>8</v>
      </c>
      <c r="H7" s="46" t="n">
        <f aca="false">F7</f>
        <v>3</v>
      </c>
      <c r="I7" s="47"/>
      <c r="J7" s="46" t="str">
        <f aca="false">IF(I7="","",IF(FALSE(),F7,MIN(G7,I7+IF(E7="s",Reglas!$C$7,Reglas!$C$6))))</f>
        <v/>
      </c>
      <c r="K7" s="47"/>
      <c r="L7" s="46" t="str">
        <f aca="false">IF(K7="","",IF(AND(K7&gt;=G7,I7&gt;=G7),F7,MIN(G7,K7+IF(E7="s",Reglas!$C$7,Reglas!$C$6))))</f>
        <v/>
      </c>
      <c r="M7" s="47"/>
      <c r="N7" s="46" t="str">
        <f aca="false">IF(M7="","",IF(AND(M7&gt;=G7,K7&gt;=G7),F7,MIN(G7,M7+IF(E7="s",Reglas!$C$7,Reglas!$C$6))))</f>
        <v/>
      </c>
      <c r="O7" s="47"/>
      <c r="P7" s="46" t="str">
        <f aca="false">IF(O7="","",IF(AND(O7&gt;=G7,M7&gt;=G7),F7,MIN(G7,O7+IF(E7="s",Reglas!$C$7,Reglas!$C$6))))</f>
        <v/>
      </c>
      <c r="Q7" s="47"/>
      <c r="R7" s="46" t="str">
        <f aca="false">IF(Q7="","",IF(AND(Q7&gt;=G7,O7&gt;=G7),F7,MIN(G7,Q7+IF(E7="s",Reglas!$C$7,Reglas!$C$6))))</f>
        <v/>
      </c>
      <c r="S7" s="47"/>
      <c r="T7" s="48" t="str">
        <f aca="false">IF(S7&lt;&gt;"",S7,IF(Q7&lt;&gt;"",Q7,IF(O7&lt;&gt;"",O7,IF(M7&lt;&gt;"",M7,IF(K7&lt;&gt;"",K7,IF(I7&lt;&gt;"",I7,""))))))</f>
        <v/>
      </c>
      <c r="U7" s="49" t="str">
        <f aca="false">IF(B7="hold final","al fallo",IF(T7="",F7&amp;" (piso)",IF(AND(T7&gt;=G7,IF(AND(S7&lt;&gt;"",TRUE()),Q7,IF(AND(Q7&lt;&gt;"",S7=""),O7,IF(AND(O7&lt;&gt;"",Q7=""),M7,IF(AND(M7&lt;&gt;"",O7=""),K7,IF(AND(K7&lt;&gt;"",M7=""),I7,0)))))&gt;=G7),F7&amp;" (piso, progresión nueva)",MIN(G7,T7+IF(E7="s",Reglas!$C$7,Reglas!$C$6)))))</f>
        <v>3 (piso)</v>
      </c>
      <c r="V7" s="50" t="str">
        <f aca="false">IF(B7="hold final","",IF(T7="","sin datos",IF(AND(T7&gt;=G7,IF(AND(S7&lt;&gt;"",TRUE()),Q7,IF(AND(Q7&lt;&gt;"",S7=""),O7,IF(AND(O7&lt;&gt;"",Q7=""),M7,IF(AND(M7&lt;&gt;"",O7=""),K7,IF(AND(K7&lt;&gt;"",M7=""),I7,0)))))&gt;=G7),"⬆ SUBIR de progresión",IF(T7&gt;=G7,"techo 1 de 2",IF(T7&lt;F7,"bajo el piso: revisar","en rango")))))</f>
        <v>sin datos</v>
      </c>
      <c r="W7" s="21" t="n">
        <f aca="false">IF(AND(I7&lt;&gt;"",H7&lt;&gt;""),IF(I7&gt;=H7,1,0),0)+IF(AND(K7&lt;&gt;"",J7&lt;&gt;""),IF(K7&gt;=J7,1,0),0)+IF(AND(M7&lt;&gt;"",L7&lt;&gt;""),IF(M7&gt;=L7,1,0),0)+IF(AND(O7&lt;&gt;"",N7&lt;&gt;""),IF(O7&gt;=N7,1,0),0)+IF(AND(Q7&lt;&gt;"",P7&lt;&gt;""),IF(Q7&gt;=P7,1,0),0)+IF(AND(S7&lt;&gt;"",R7&lt;&gt;""),IF(S7&gt;=R7,1,0),0)</f>
        <v>0</v>
      </c>
      <c r="X7" s="21" t="n">
        <f aca="false">IF(AND(I7&lt;&gt;"",H7&lt;&gt;""),1,0)+IF(AND(K7&lt;&gt;"",J7&lt;&gt;""),1,0)+IF(AND(M7&lt;&gt;"",L7&lt;&gt;""),1,0)+IF(AND(O7&lt;&gt;"",N7&lt;&gt;""),1,0)+IF(AND(Q7&lt;&gt;"",P7&lt;&gt;""),1,0)+IF(AND(S7&lt;&gt;"",R7&lt;&gt;""),1,0)</f>
        <v>0</v>
      </c>
      <c r="Y7" s="51" t="str">
        <f aca="false">IF(X7=0,"",W7/X7)</f>
        <v/>
      </c>
      <c r="Z7" s="52" t="str">
        <f aca="false">IF(X7=0,"",(IF(AND(I7&lt;&gt;"",H7&lt;&gt;""),I7-H7,0)+IF(AND(K7&lt;&gt;"",J7&lt;&gt;""),K7-J7,0)+IF(AND(M7&lt;&gt;"",L7&lt;&gt;""),M7-L7,0)+IF(AND(O7&lt;&gt;"",N7&lt;&gt;""),O7-N7,0)+IF(AND(Q7&lt;&gt;"",P7&lt;&gt;""),Q7-P7,0)+IF(AND(S7&lt;&gt;"",R7&lt;&gt;""),S7-R7,0))/X7)</f>
        <v/>
      </c>
    </row>
    <row r="8" customFormat="false" ht="19.5" hidden="false" customHeight="true" outlineLevel="0" collapsed="false">
      <c r="A8" s="42"/>
      <c r="B8" s="53" t="s">
        <v>90</v>
      </c>
      <c r="C8" s="44" t="s">
        <v>109</v>
      </c>
      <c r="D8" s="44" t="s">
        <v>85</v>
      </c>
      <c r="E8" s="44" t="s">
        <v>86</v>
      </c>
      <c r="F8" s="45" t="n">
        <f aca="false">IF(E8="reps",3,4)</f>
        <v>4</v>
      </c>
      <c r="G8" s="45" t="n">
        <f aca="false">IF(E8="reps",8,12)</f>
        <v>12</v>
      </c>
      <c r="H8" s="46" t="s">
        <v>91</v>
      </c>
      <c r="I8" s="47"/>
      <c r="J8" s="46" t="s">
        <v>91</v>
      </c>
      <c r="K8" s="47"/>
      <c r="L8" s="46" t="s">
        <v>91</v>
      </c>
      <c r="M8" s="47"/>
      <c r="N8" s="46" t="s">
        <v>91</v>
      </c>
      <c r="O8" s="47"/>
      <c r="P8" s="46" t="s">
        <v>91</v>
      </c>
      <c r="Q8" s="47"/>
      <c r="R8" s="46" t="s">
        <v>91</v>
      </c>
      <c r="S8" s="47"/>
      <c r="T8" s="48" t="str">
        <f aca="false">IF(S8&lt;&gt;"",S8,IF(Q8&lt;&gt;"",Q8,IF(O8&lt;&gt;"",O8,IF(M8&lt;&gt;"",M8,IF(K8&lt;&gt;"",K8,IF(I8&lt;&gt;"",I8,""))))))</f>
        <v/>
      </c>
      <c r="U8" s="49" t="str">
        <f aca="false">IF(B8="hold final","al fallo",IF(T8="",F8&amp;" (piso)",IF(AND(T8&gt;=G8,IF(AND(S8&lt;&gt;"",TRUE()),Q8,IF(AND(Q8&lt;&gt;"",S8=""),O8,IF(AND(O8&lt;&gt;"",Q8=""),M8,IF(AND(M8&lt;&gt;"",O8=""),K8,IF(AND(K8&lt;&gt;"",M8=""),I8,0)))))&gt;=G8),F8&amp;" (piso, progresión nueva)",MIN(G8,T8+IF(E8="s",Reglas!$C$7,Reglas!$C$6)))))</f>
        <v>al fallo</v>
      </c>
      <c r="V8" s="50" t="str">
        <f aca="false">IF(B8="hold final","",IF(T8="","sin datos",IF(AND(T8&gt;=G8,IF(AND(S8&lt;&gt;"",TRUE()),Q8,IF(AND(Q8&lt;&gt;"",S8=""),O8,IF(AND(O8&lt;&gt;"",Q8=""),M8,IF(AND(M8&lt;&gt;"",O8=""),K8,IF(AND(K8&lt;&gt;"",M8=""),I8,0)))))&gt;=G8),"⬆ SUBIR de progresión",IF(T8&gt;=G8,"techo 1 de 2",IF(T8&lt;F8,"bajo el piso: revisar","en rango")))))</f>
        <v/>
      </c>
      <c r="W8" s="54"/>
      <c r="X8" s="54"/>
      <c r="Y8" s="54"/>
      <c r="Z8" s="54"/>
    </row>
    <row r="10" customFormat="false" ht="19.5" hidden="false" customHeight="true" outlineLevel="0" collapsed="false">
      <c r="A10" s="55" t="s">
        <v>110</v>
      </c>
      <c r="B10" s="56" t="s">
        <v>83</v>
      </c>
      <c r="C10" s="32" t="s">
        <v>84</v>
      </c>
      <c r="D10" s="32" t="s">
        <v>93</v>
      </c>
      <c r="E10" s="32" t="s">
        <v>94</v>
      </c>
      <c r="F10" s="57" t="n">
        <f aca="false">IF(E10="reps",3,4)</f>
        <v>3</v>
      </c>
      <c r="G10" s="57" t="n">
        <f aca="false">IF(E10="reps",8,12)</f>
        <v>8</v>
      </c>
      <c r="H10" s="34" t="n">
        <f aca="false">F10</f>
        <v>3</v>
      </c>
      <c r="I10" s="35"/>
      <c r="J10" s="34" t="str">
        <f aca="false">IF(I10="","",IF(FALSE(),F10,MIN(G10,I10+IF(E10="s",Reglas!$C$7,Reglas!$C$6))))</f>
        <v/>
      </c>
      <c r="K10" s="35"/>
      <c r="L10" s="34" t="str">
        <f aca="false">IF(K10="","",IF(AND(K10&gt;=G10,I10&gt;=G10),F10,MIN(G10,K10+IF(E10="s",Reglas!$C$7,Reglas!$C$6))))</f>
        <v/>
      </c>
      <c r="M10" s="35"/>
      <c r="N10" s="34" t="str">
        <f aca="false">IF(M10="","",IF(AND(M10&gt;=G10,K10&gt;=G10),F10,MIN(G10,M10+IF(E10="s",Reglas!$C$7,Reglas!$C$6))))</f>
        <v/>
      </c>
      <c r="O10" s="35"/>
      <c r="P10" s="34" t="str">
        <f aca="false">IF(O10="","",IF(AND(O10&gt;=G10,M10&gt;=G10),F10,MIN(G10,O10+IF(E10="s",Reglas!$C$7,Reglas!$C$6))))</f>
        <v/>
      </c>
      <c r="Q10" s="35"/>
      <c r="R10" s="34" t="str">
        <f aca="false">IF(Q10="","",IF(AND(Q10&gt;=G10,O10&gt;=G10),F10,MIN(G10,Q10+IF(E10="s",Reglas!$C$7,Reglas!$C$6))))</f>
        <v/>
      </c>
      <c r="S10" s="35"/>
      <c r="T10" s="58" t="str">
        <f aca="false">IF(S10&lt;&gt;"",S10,IF(Q10&lt;&gt;"",Q10,IF(O10&lt;&gt;"",O10,IF(M10&lt;&gt;"",M10,IF(K10&lt;&gt;"",K10,IF(I10&lt;&gt;"",I10,""))))))</f>
        <v/>
      </c>
      <c r="U10" s="59" t="str">
        <f aca="false">IF(B10="hold final","al fallo",IF(T10="",F10&amp;" (piso)",IF(AND(T10&gt;=G10,IF(AND(S10&lt;&gt;"",TRUE()),Q10,IF(AND(Q10&lt;&gt;"",S10=""),O10,IF(AND(O10&lt;&gt;"",Q10=""),M10,IF(AND(M10&lt;&gt;"",O10=""),K10,IF(AND(K10&lt;&gt;"",M10=""),I10,0)))))&gt;=G10),F10&amp;" (piso, progresión nueva)",MIN(G10,T10+IF(E10="s",Reglas!$C$7,Reglas!$C$6)))))</f>
        <v>3 (piso)</v>
      </c>
      <c r="V10" s="60" t="str">
        <f aca="false">IF(B10="hold final","",IF(T10="","sin datos",IF(AND(T10&gt;=G10,IF(AND(S10&lt;&gt;"",TRUE()),Q10,IF(AND(Q10&lt;&gt;"",S10=""),O10,IF(AND(O10&lt;&gt;"",Q10=""),M10,IF(AND(M10&lt;&gt;"",O10=""),K10,IF(AND(K10&lt;&gt;"",M10=""),I10,0)))))&gt;=G10),"⬆ SUBIR de progresión",IF(T10&gt;=G10,"techo 1 de 2",IF(T10&lt;F10,"bajo el piso: revisar","en rango")))))</f>
        <v>sin datos</v>
      </c>
      <c r="W10" s="61" t="n">
        <f aca="false">IF(AND(I10&lt;&gt;"",H10&lt;&gt;""),IF(I10&gt;=H10,1,0),0)+IF(AND(K10&lt;&gt;"",J10&lt;&gt;""),IF(K10&gt;=J10,1,0),0)+IF(AND(M10&lt;&gt;"",L10&lt;&gt;""),IF(M10&gt;=L10,1,0),0)+IF(AND(O10&lt;&gt;"",N10&lt;&gt;""),IF(O10&gt;=N10,1,0),0)+IF(AND(Q10&lt;&gt;"",P10&lt;&gt;""),IF(Q10&gt;=P10,1,0),0)+IF(AND(S10&lt;&gt;"",R10&lt;&gt;""),IF(S10&gt;=R10,1,0),0)</f>
        <v>0</v>
      </c>
      <c r="X10" s="61" t="n">
        <f aca="false">IF(AND(I10&lt;&gt;"",H10&lt;&gt;""),1,0)+IF(AND(K10&lt;&gt;"",J10&lt;&gt;""),1,0)+IF(AND(M10&lt;&gt;"",L10&lt;&gt;""),1,0)+IF(AND(O10&lt;&gt;"",N10&lt;&gt;""),1,0)+IF(AND(Q10&lt;&gt;"",P10&lt;&gt;""),1,0)+IF(AND(S10&lt;&gt;"",R10&lt;&gt;""),1,0)</f>
        <v>0</v>
      </c>
      <c r="Y10" s="62" t="str">
        <f aca="false">IF(X10=0,"",W10/X10)</f>
        <v/>
      </c>
      <c r="Z10" s="63" t="str">
        <f aca="false">IF(X10=0,"",(IF(AND(I10&lt;&gt;"",H10&lt;&gt;""),I10-H10,0)+IF(AND(K10&lt;&gt;"",J10&lt;&gt;""),K10-J10,0)+IF(AND(M10&lt;&gt;"",L10&lt;&gt;""),M10-L10,0)+IF(AND(O10&lt;&gt;"",N10&lt;&gt;""),O10-N10,0)+IF(AND(Q10&lt;&gt;"",P10&lt;&gt;""),Q10-P10,0)+IF(AND(S10&lt;&gt;"",R10&lt;&gt;""),S10-R10,0))/X10)</f>
        <v/>
      </c>
    </row>
    <row r="11" customFormat="false" ht="19.5" hidden="false" customHeight="true" outlineLevel="0" collapsed="false">
      <c r="A11" s="64"/>
      <c r="B11" s="65" t="s">
        <v>87</v>
      </c>
      <c r="C11" s="44" t="s">
        <v>84</v>
      </c>
      <c r="D11" s="44" t="s">
        <v>95</v>
      </c>
      <c r="E11" s="44" t="s">
        <v>94</v>
      </c>
      <c r="F11" s="66" t="n">
        <f aca="false">IF(E11="reps",3,4)</f>
        <v>3</v>
      </c>
      <c r="G11" s="66" t="n">
        <f aca="false">IF(E11="reps",8,12)</f>
        <v>8</v>
      </c>
      <c r="H11" s="46" t="n">
        <f aca="false">F11</f>
        <v>3</v>
      </c>
      <c r="I11" s="47"/>
      <c r="J11" s="46" t="str">
        <f aca="false">IF(I11="","",IF(FALSE(),F11,MIN(G11,I11+IF(E11="s",Reglas!$C$7,Reglas!$C$6))))</f>
        <v/>
      </c>
      <c r="K11" s="47"/>
      <c r="L11" s="46" t="str">
        <f aca="false">IF(K11="","",IF(AND(K11&gt;=G11,I11&gt;=G11),F11,MIN(G11,K11+IF(E11="s",Reglas!$C$7,Reglas!$C$6))))</f>
        <v/>
      </c>
      <c r="M11" s="47"/>
      <c r="N11" s="46" t="str">
        <f aca="false">IF(M11="","",IF(AND(M11&gt;=G11,K11&gt;=G11),F11,MIN(G11,M11+IF(E11="s",Reglas!$C$7,Reglas!$C$6))))</f>
        <v/>
      </c>
      <c r="O11" s="47"/>
      <c r="P11" s="46" t="str">
        <f aca="false">IF(O11="","",IF(AND(O11&gt;=G11,M11&gt;=G11),F11,MIN(G11,O11+IF(E11="s",Reglas!$C$7,Reglas!$C$6))))</f>
        <v/>
      </c>
      <c r="Q11" s="47"/>
      <c r="R11" s="46" t="str">
        <f aca="false">IF(Q11="","",IF(AND(Q11&gt;=G11,O11&gt;=G11),F11,MIN(G11,Q11+IF(E11="s",Reglas!$C$7,Reglas!$C$6))))</f>
        <v/>
      </c>
      <c r="S11" s="47"/>
      <c r="T11" s="67" t="str">
        <f aca="false">IF(S11&lt;&gt;"",S11,IF(Q11&lt;&gt;"",Q11,IF(O11&lt;&gt;"",O11,IF(M11&lt;&gt;"",M11,IF(K11&lt;&gt;"",K11,IF(I11&lt;&gt;"",I11,""))))))</f>
        <v/>
      </c>
      <c r="U11" s="68" t="str">
        <f aca="false">IF(B11="hold final","al fallo",IF(T11="",F11&amp;" (piso)",IF(AND(T11&gt;=G11,IF(AND(S11&lt;&gt;"",TRUE()),Q11,IF(AND(Q11&lt;&gt;"",S11=""),O11,IF(AND(O11&lt;&gt;"",Q11=""),M11,IF(AND(M11&lt;&gt;"",O11=""),K11,IF(AND(K11&lt;&gt;"",M11=""),I11,0)))))&gt;=G11),F11&amp;" (piso, progresión nueva)",MIN(G11,T11+IF(E11="s",Reglas!$C$7,Reglas!$C$6)))))</f>
        <v>3 (piso)</v>
      </c>
      <c r="V11" s="69" t="str">
        <f aca="false">IF(B11="hold final","",IF(T11="","sin datos",IF(AND(T11&gt;=G11,IF(AND(S11&lt;&gt;"",TRUE()),Q11,IF(AND(Q11&lt;&gt;"",S11=""),O11,IF(AND(O11&lt;&gt;"",Q11=""),M11,IF(AND(M11&lt;&gt;"",O11=""),K11,IF(AND(K11&lt;&gt;"",M11=""),I11,0)))))&gt;=G11),"⬆ SUBIR de progresión",IF(T11&gt;=G11,"techo 1 de 2",IF(T11&lt;F11,"bajo el piso: revisar","en rango")))))</f>
        <v>sin datos</v>
      </c>
      <c r="W11" s="19" t="n">
        <f aca="false">IF(AND(I11&lt;&gt;"",H11&lt;&gt;""),IF(I11&gt;=H11,1,0),0)+IF(AND(K11&lt;&gt;"",J11&lt;&gt;""),IF(K11&gt;=J11,1,0),0)+IF(AND(M11&lt;&gt;"",L11&lt;&gt;""),IF(M11&gt;=L11,1,0),0)+IF(AND(O11&lt;&gt;"",N11&lt;&gt;""),IF(O11&gt;=N11,1,0),0)+IF(AND(Q11&lt;&gt;"",P11&lt;&gt;""),IF(Q11&gt;=P11,1,0),0)+IF(AND(S11&lt;&gt;"",R11&lt;&gt;""),IF(S11&gt;=R11,1,0),0)</f>
        <v>0</v>
      </c>
      <c r="X11" s="19" t="n">
        <f aca="false">IF(AND(I11&lt;&gt;"",H11&lt;&gt;""),1,0)+IF(AND(K11&lt;&gt;"",J11&lt;&gt;""),1,0)+IF(AND(M11&lt;&gt;"",L11&lt;&gt;""),1,0)+IF(AND(O11&lt;&gt;"",N11&lt;&gt;""),1,0)+IF(AND(Q11&lt;&gt;"",P11&lt;&gt;""),1,0)+IF(AND(S11&lt;&gt;"",R11&lt;&gt;""),1,0)</f>
        <v>0</v>
      </c>
      <c r="Y11" s="70" t="str">
        <f aca="false">IF(X11=0,"",W11/X11)</f>
        <v/>
      </c>
      <c r="Z11" s="71" t="str">
        <f aca="false">IF(X11=0,"",(IF(AND(I11&lt;&gt;"",H11&lt;&gt;""),I11-H11,0)+IF(AND(K11&lt;&gt;"",J11&lt;&gt;""),K11-J11,0)+IF(AND(M11&lt;&gt;"",L11&lt;&gt;""),M11-L11,0)+IF(AND(O11&lt;&gt;"",N11&lt;&gt;""),O11-N11,0)+IF(AND(Q11&lt;&gt;"",P11&lt;&gt;""),Q11-P11,0)+IF(AND(S11&lt;&gt;"",R11&lt;&gt;""),S11-R11,0))/X11)</f>
        <v/>
      </c>
    </row>
    <row r="12" customFormat="false" ht="19.5" hidden="false" customHeight="true" outlineLevel="0" collapsed="false">
      <c r="A12" s="64"/>
      <c r="B12" s="65" t="s">
        <v>89</v>
      </c>
      <c r="C12" s="44" t="s">
        <v>111</v>
      </c>
      <c r="D12" s="44" t="s">
        <v>93</v>
      </c>
      <c r="E12" s="44" t="s">
        <v>94</v>
      </c>
      <c r="F12" s="66" t="n">
        <f aca="false">IF(E12="reps",3,4)</f>
        <v>3</v>
      </c>
      <c r="G12" s="66" t="n">
        <f aca="false">IF(E12="reps",8,12)</f>
        <v>8</v>
      </c>
      <c r="H12" s="46" t="n">
        <f aca="false">F12</f>
        <v>3</v>
      </c>
      <c r="I12" s="47"/>
      <c r="J12" s="46" t="str">
        <f aca="false">IF(I12="","",IF(FALSE(),F12,MIN(G12,I12+IF(E12="s",Reglas!$C$7,Reglas!$C$6))))</f>
        <v/>
      </c>
      <c r="K12" s="47"/>
      <c r="L12" s="46" t="str">
        <f aca="false">IF(K12="","",IF(AND(K12&gt;=G12,I12&gt;=G12),F12,MIN(G12,K12+IF(E12="s",Reglas!$C$7,Reglas!$C$6))))</f>
        <v/>
      </c>
      <c r="M12" s="47"/>
      <c r="N12" s="46" t="str">
        <f aca="false">IF(M12="","",IF(AND(M12&gt;=G12,K12&gt;=G12),F12,MIN(G12,M12+IF(E12="s",Reglas!$C$7,Reglas!$C$6))))</f>
        <v/>
      </c>
      <c r="O12" s="47"/>
      <c r="P12" s="46" t="str">
        <f aca="false">IF(O12="","",IF(AND(O12&gt;=G12,M12&gt;=G12),F12,MIN(G12,O12+IF(E12="s",Reglas!$C$7,Reglas!$C$6))))</f>
        <v/>
      </c>
      <c r="Q12" s="47"/>
      <c r="R12" s="46" t="str">
        <f aca="false">IF(Q12="","",IF(AND(Q12&gt;=G12,O12&gt;=G12),F12,MIN(G12,Q12+IF(E12="s",Reglas!$C$7,Reglas!$C$6))))</f>
        <v/>
      </c>
      <c r="S12" s="47"/>
      <c r="T12" s="67" t="str">
        <f aca="false">IF(S12&lt;&gt;"",S12,IF(Q12&lt;&gt;"",Q12,IF(O12&lt;&gt;"",O12,IF(M12&lt;&gt;"",M12,IF(K12&lt;&gt;"",K12,IF(I12&lt;&gt;"",I12,""))))))</f>
        <v/>
      </c>
      <c r="U12" s="68" t="str">
        <f aca="false">IF(B12="hold final","al fallo",IF(T12="",F12&amp;" (piso)",IF(AND(T12&gt;=G12,IF(AND(S12&lt;&gt;"",TRUE()),Q12,IF(AND(Q12&lt;&gt;"",S12=""),O12,IF(AND(O12&lt;&gt;"",Q12=""),M12,IF(AND(M12&lt;&gt;"",O12=""),K12,IF(AND(K12&lt;&gt;"",M12=""),I12,0)))))&gt;=G12),F12&amp;" (piso, progresión nueva)",MIN(G12,T12+IF(E12="s",Reglas!$C$7,Reglas!$C$6)))))</f>
        <v>3 (piso)</v>
      </c>
      <c r="V12" s="69" t="str">
        <f aca="false">IF(B12="hold final","",IF(T12="","sin datos",IF(AND(T12&gt;=G12,IF(AND(S12&lt;&gt;"",TRUE()),Q12,IF(AND(Q12&lt;&gt;"",S12=""),O12,IF(AND(O12&lt;&gt;"",Q12=""),M12,IF(AND(M12&lt;&gt;"",O12=""),K12,IF(AND(K12&lt;&gt;"",M12=""),I12,0)))))&gt;=G12),"⬆ SUBIR de progresión",IF(T12&gt;=G12,"techo 1 de 2",IF(T12&lt;F12,"bajo el piso: revisar","en rango")))))</f>
        <v>sin datos</v>
      </c>
      <c r="W12" s="19" t="n">
        <f aca="false">IF(AND(I12&lt;&gt;"",H12&lt;&gt;""),IF(I12&gt;=H12,1,0),0)+IF(AND(K12&lt;&gt;"",J12&lt;&gt;""),IF(K12&gt;=J12,1,0),0)+IF(AND(M12&lt;&gt;"",L12&lt;&gt;""),IF(M12&gt;=L12,1,0),0)+IF(AND(O12&lt;&gt;"",N12&lt;&gt;""),IF(O12&gt;=N12,1,0),0)+IF(AND(Q12&lt;&gt;"",P12&lt;&gt;""),IF(Q12&gt;=P12,1,0),0)+IF(AND(S12&lt;&gt;"",R12&lt;&gt;""),IF(S12&gt;=R12,1,0),0)</f>
        <v>0</v>
      </c>
      <c r="X12" s="19" t="n">
        <f aca="false">IF(AND(I12&lt;&gt;"",H12&lt;&gt;""),1,0)+IF(AND(K12&lt;&gt;"",J12&lt;&gt;""),1,0)+IF(AND(M12&lt;&gt;"",L12&lt;&gt;""),1,0)+IF(AND(O12&lt;&gt;"",N12&lt;&gt;""),1,0)+IF(AND(Q12&lt;&gt;"",P12&lt;&gt;""),1,0)+IF(AND(S12&lt;&gt;"",R12&lt;&gt;""),1,0)</f>
        <v>0</v>
      </c>
      <c r="Y12" s="70" t="str">
        <f aca="false">IF(X12=0,"",W12/X12)</f>
        <v/>
      </c>
      <c r="Z12" s="71" t="str">
        <f aca="false">IF(X12=0,"",(IF(AND(I12&lt;&gt;"",H12&lt;&gt;""),I12-H12,0)+IF(AND(K12&lt;&gt;"",J12&lt;&gt;""),K12-J12,0)+IF(AND(M12&lt;&gt;"",L12&lt;&gt;""),M12-L12,0)+IF(AND(O12&lt;&gt;"",N12&lt;&gt;""),O12-N12,0)+IF(AND(Q12&lt;&gt;"",P12&lt;&gt;""),Q12-P12,0)+IF(AND(S12&lt;&gt;"",R12&lt;&gt;""),S12-R12,0))/X12)</f>
        <v/>
      </c>
    </row>
    <row r="13" customFormat="false" ht="19.5" hidden="false" customHeight="true" outlineLevel="0" collapsed="false">
      <c r="A13" s="64"/>
      <c r="B13" s="72" t="s">
        <v>90</v>
      </c>
      <c r="C13" s="44" t="s">
        <v>49</v>
      </c>
      <c r="D13" s="44" t="s">
        <v>85</v>
      </c>
      <c r="E13" s="44" t="s">
        <v>86</v>
      </c>
      <c r="F13" s="66" t="n">
        <f aca="false">IF(E13="reps",3,4)</f>
        <v>4</v>
      </c>
      <c r="G13" s="66" t="n">
        <f aca="false">IF(E13="reps",8,12)</f>
        <v>12</v>
      </c>
      <c r="H13" s="46" t="s">
        <v>91</v>
      </c>
      <c r="I13" s="47"/>
      <c r="J13" s="46" t="s">
        <v>91</v>
      </c>
      <c r="K13" s="47"/>
      <c r="L13" s="46" t="s">
        <v>91</v>
      </c>
      <c r="M13" s="47"/>
      <c r="N13" s="46" t="s">
        <v>91</v>
      </c>
      <c r="O13" s="47"/>
      <c r="P13" s="46" t="s">
        <v>91</v>
      </c>
      <c r="Q13" s="47"/>
      <c r="R13" s="46" t="s">
        <v>91</v>
      </c>
      <c r="S13" s="47"/>
      <c r="T13" s="67" t="str">
        <f aca="false">IF(S13&lt;&gt;"",S13,IF(Q13&lt;&gt;"",Q13,IF(O13&lt;&gt;"",O13,IF(M13&lt;&gt;"",M13,IF(K13&lt;&gt;"",K13,IF(I13&lt;&gt;"",I13,""))))))</f>
        <v/>
      </c>
      <c r="U13" s="68" t="str">
        <f aca="false">IF(B13="hold final","al fallo",IF(T13="",F13&amp;" (piso)",IF(AND(T13&gt;=G13,IF(AND(S13&lt;&gt;"",TRUE()),Q13,IF(AND(Q13&lt;&gt;"",S13=""),O13,IF(AND(O13&lt;&gt;"",Q13=""),M13,IF(AND(M13&lt;&gt;"",O13=""),K13,IF(AND(K13&lt;&gt;"",M13=""),I13,0)))))&gt;=G13),F13&amp;" (piso, progresión nueva)",MIN(G13,T13+IF(E13="s",Reglas!$C$7,Reglas!$C$6)))))</f>
        <v>al fallo</v>
      </c>
      <c r="V13" s="69" t="str">
        <f aca="false">IF(B13="hold final","",IF(T13="","sin datos",IF(AND(T13&gt;=G13,IF(AND(S13&lt;&gt;"",TRUE()),Q13,IF(AND(Q13&lt;&gt;"",S13=""),O13,IF(AND(O13&lt;&gt;"",Q13=""),M13,IF(AND(M13&lt;&gt;"",O13=""),K13,IF(AND(K13&lt;&gt;"",M13=""),I13,0)))))&gt;=G13),"⬆ SUBIR de progresión",IF(T13&gt;=G13,"techo 1 de 2",IF(T13&lt;F13,"bajo el piso: revisar","en rango")))))</f>
        <v/>
      </c>
      <c r="W13" s="73"/>
      <c r="X13" s="73"/>
      <c r="Y13" s="73"/>
      <c r="Z13" s="73"/>
    </row>
    <row r="15" customFormat="false" ht="19.5" hidden="false" customHeight="true" outlineLevel="0" collapsed="false">
      <c r="A15" s="30" t="s">
        <v>112</v>
      </c>
      <c r="B15" s="31" t="s">
        <v>83</v>
      </c>
      <c r="C15" s="32" t="s">
        <v>49</v>
      </c>
      <c r="D15" s="32" t="s">
        <v>93</v>
      </c>
      <c r="E15" s="32" t="s">
        <v>94</v>
      </c>
      <c r="F15" s="33" t="n">
        <f aca="false">IF(E15="reps",3,4)</f>
        <v>3</v>
      </c>
      <c r="G15" s="33" t="n">
        <f aca="false">IF(E15="reps",8,12)</f>
        <v>8</v>
      </c>
      <c r="H15" s="34" t="n">
        <f aca="false">F15</f>
        <v>3</v>
      </c>
      <c r="I15" s="35"/>
      <c r="J15" s="34" t="str">
        <f aca="false">IF(I15="","",IF(FALSE(),F15,MIN(G15,I15+IF(E15="s",Reglas!$C$7,Reglas!$C$6))))</f>
        <v/>
      </c>
      <c r="K15" s="35"/>
      <c r="L15" s="34" t="str">
        <f aca="false">IF(K15="","",IF(AND(K15&gt;=G15,I15&gt;=G15),F15,MIN(G15,K15+IF(E15="s",Reglas!$C$7,Reglas!$C$6))))</f>
        <v/>
      </c>
      <c r="M15" s="35"/>
      <c r="N15" s="34" t="str">
        <f aca="false">IF(M15="","",IF(AND(M15&gt;=G15,K15&gt;=G15),F15,MIN(G15,M15+IF(E15="s",Reglas!$C$7,Reglas!$C$6))))</f>
        <v/>
      </c>
      <c r="O15" s="35"/>
      <c r="P15" s="34" t="str">
        <f aca="false">IF(O15="","",IF(AND(O15&gt;=G15,M15&gt;=G15),F15,MIN(G15,O15+IF(E15="s",Reglas!$C$7,Reglas!$C$6))))</f>
        <v/>
      </c>
      <c r="Q15" s="35"/>
      <c r="R15" s="34" t="str">
        <f aca="false">IF(Q15="","",IF(AND(Q15&gt;=G15,O15&gt;=G15),F15,MIN(G15,Q15+IF(E15="s",Reglas!$C$7,Reglas!$C$6))))</f>
        <v/>
      </c>
      <c r="S15" s="35"/>
      <c r="T15" s="36" t="str">
        <f aca="false">IF(S15&lt;&gt;"",S15,IF(Q15&lt;&gt;"",Q15,IF(O15&lt;&gt;"",O15,IF(M15&lt;&gt;"",M15,IF(K15&lt;&gt;"",K15,IF(I15&lt;&gt;"",I15,""))))))</f>
        <v/>
      </c>
      <c r="U15" s="37" t="str">
        <f aca="false">IF(B15="hold final","al fallo",IF(T15="",F15&amp;" (piso)",IF(AND(T15&gt;=G15,IF(AND(S15&lt;&gt;"",TRUE()),Q15,IF(AND(Q15&lt;&gt;"",S15=""),O15,IF(AND(O15&lt;&gt;"",Q15=""),M15,IF(AND(M15&lt;&gt;"",O15=""),K15,IF(AND(K15&lt;&gt;"",M15=""),I15,0)))))&gt;=G15),F15&amp;" (piso, progresión nueva)",MIN(G15,T15+IF(E15="s",Reglas!$C$7,Reglas!$C$6)))))</f>
        <v>3 (piso)</v>
      </c>
      <c r="V15" s="38" t="str">
        <f aca="false">IF(B15="hold final","",IF(T15="","sin datos",IF(AND(T15&gt;=G15,IF(AND(S15&lt;&gt;"",TRUE()),Q15,IF(AND(Q15&lt;&gt;"",S15=""),O15,IF(AND(O15&lt;&gt;"",Q15=""),M15,IF(AND(M15&lt;&gt;"",O15=""),K15,IF(AND(K15&lt;&gt;"",M15=""),I15,0)))))&gt;=G15),"⬆ SUBIR de progresión",IF(T15&gt;=G15,"techo 1 de 2",IF(T15&lt;F15,"bajo el piso: revisar","en rango")))))</f>
        <v>sin datos</v>
      </c>
      <c r="W15" s="39" t="n">
        <f aca="false">IF(AND(I15&lt;&gt;"",H15&lt;&gt;""),IF(I15&gt;=H15,1,0),0)+IF(AND(K15&lt;&gt;"",J15&lt;&gt;""),IF(K15&gt;=J15,1,0),0)+IF(AND(M15&lt;&gt;"",L15&lt;&gt;""),IF(M15&gt;=L15,1,0),0)+IF(AND(O15&lt;&gt;"",N15&lt;&gt;""),IF(O15&gt;=N15,1,0),0)+IF(AND(Q15&lt;&gt;"",P15&lt;&gt;""),IF(Q15&gt;=P15,1,0),0)+IF(AND(S15&lt;&gt;"",R15&lt;&gt;""),IF(S15&gt;=R15,1,0),0)</f>
        <v>0</v>
      </c>
      <c r="X15" s="39" t="n">
        <f aca="false">IF(AND(I15&lt;&gt;"",H15&lt;&gt;""),1,0)+IF(AND(K15&lt;&gt;"",J15&lt;&gt;""),1,0)+IF(AND(M15&lt;&gt;"",L15&lt;&gt;""),1,0)+IF(AND(O15&lt;&gt;"",N15&lt;&gt;""),1,0)+IF(AND(Q15&lt;&gt;"",P15&lt;&gt;""),1,0)+IF(AND(S15&lt;&gt;"",R15&lt;&gt;""),1,0)</f>
        <v>0</v>
      </c>
      <c r="Y15" s="40" t="str">
        <f aca="false">IF(X15=0,"",W15/X15)</f>
        <v/>
      </c>
      <c r="Z15" s="41" t="str">
        <f aca="false">IF(X15=0,"",(IF(AND(I15&lt;&gt;"",H15&lt;&gt;""),I15-H15,0)+IF(AND(K15&lt;&gt;"",J15&lt;&gt;""),K15-J15,0)+IF(AND(M15&lt;&gt;"",L15&lt;&gt;""),M15-L15,0)+IF(AND(O15&lt;&gt;"",N15&lt;&gt;""),O15-N15,0)+IF(AND(Q15&lt;&gt;"",P15&lt;&gt;""),Q15-P15,0)+IF(AND(S15&lt;&gt;"",R15&lt;&gt;""),S15-R15,0))/X15)</f>
        <v/>
      </c>
    </row>
    <row r="16" customFormat="false" ht="19.5" hidden="false" customHeight="true" outlineLevel="0" collapsed="false">
      <c r="A16" s="42"/>
      <c r="B16" s="43" t="s">
        <v>87</v>
      </c>
      <c r="C16" s="44" t="s">
        <v>49</v>
      </c>
      <c r="D16" s="44" t="s">
        <v>95</v>
      </c>
      <c r="E16" s="44" t="s">
        <v>94</v>
      </c>
      <c r="F16" s="45" t="n">
        <f aca="false">IF(E16="reps",3,4)</f>
        <v>3</v>
      </c>
      <c r="G16" s="45" t="n">
        <f aca="false">IF(E16="reps",8,12)</f>
        <v>8</v>
      </c>
      <c r="H16" s="46" t="n">
        <f aca="false">F16</f>
        <v>3</v>
      </c>
      <c r="I16" s="47"/>
      <c r="J16" s="46" t="str">
        <f aca="false">IF(I16="","",IF(FALSE(),F16,MIN(G16,I16+IF(E16="s",Reglas!$C$7,Reglas!$C$6))))</f>
        <v/>
      </c>
      <c r="K16" s="47"/>
      <c r="L16" s="46" t="str">
        <f aca="false">IF(K16="","",IF(AND(K16&gt;=G16,I16&gt;=G16),F16,MIN(G16,K16+IF(E16="s",Reglas!$C$7,Reglas!$C$6))))</f>
        <v/>
      </c>
      <c r="M16" s="47"/>
      <c r="N16" s="46" t="str">
        <f aca="false">IF(M16="","",IF(AND(M16&gt;=G16,K16&gt;=G16),F16,MIN(G16,M16+IF(E16="s",Reglas!$C$7,Reglas!$C$6))))</f>
        <v/>
      </c>
      <c r="O16" s="47"/>
      <c r="P16" s="46" t="str">
        <f aca="false">IF(O16="","",IF(AND(O16&gt;=G16,M16&gt;=G16),F16,MIN(G16,O16+IF(E16="s",Reglas!$C$7,Reglas!$C$6))))</f>
        <v/>
      </c>
      <c r="Q16" s="47"/>
      <c r="R16" s="46" t="str">
        <f aca="false">IF(Q16="","",IF(AND(Q16&gt;=G16,O16&gt;=G16),F16,MIN(G16,Q16+IF(E16="s",Reglas!$C$7,Reglas!$C$6))))</f>
        <v/>
      </c>
      <c r="S16" s="47"/>
      <c r="T16" s="48" t="str">
        <f aca="false">IF(S16&lt;&gt;"",S16,IF(Q16&lt;&gt;"",Q16,IF(O16&lt;&gt;"",O16,IF(M16&lt;&gt;"",M16,IF(K16&lt;&gt;"",K16,IF(I16&lt;&gt;"",I16,""))))))</f>
        <v/>
      </c>
      <c r="U16" s="49" t="str">
        <f aca="false">IF(B16="hold final","al fallo",IF(T16="",F16&amp;" (piso)",IF(AND(T16&gt;=G16,IF(AND(S16&lt;&gt;"",TRUE()),Q16,IF(AND(Q16&lt;&gt;"",S16=""),O16,IF(AND(O16&lt;&gt;"",Q16=""),M16,IF(AND(M16&lt;&gt;"",O16=""),K16,IF(AND(K16&lt;&gt;"",M16=""),I16,0)))))&gt;=G16),F16&amp;" (piso, progresión nueva)",MIN(G16,T16+IF(E16="s",Reglas!$C$7,Reglas!$C$6)))))</f>
        <v>3 (piso)</v>
      </c>
      <c r="V16" s="50" t="str">
        <f aca="false">IF(B16="hold final","",IF(T16="","sin datos",IF(AND(T16&gt;=G16,IF(AND(S16&lt;&gt;"",TRUE()),Q16,IF(AND(Q16&lt;&gt;"",S16=""),O16,IF(AND(O16&lt;&gt;"",Q16=""),M16,IF(AND(M16&lt;&gt;"",O16=""),K16,IF(AND(K16&lt;&gt;"",M16=""),I16,0)))))&gt;=G16),"⬆ SUBIR de progresión",IF(T16&gt;=G16,"techo 1 de 2",IF(T16&lt;F16,"bajo el piso: revisar","en rango")))))</f>
        <v>sin datos</v>
      </c>
      <c r="W16" s="21" t="n">
        <f aca="false">IF(AND(I16&lt;&gt;"",H16&lt;&gt;""),IF(I16&gt;=H16,1,0),0)+IF(AND(K16&lt;&gt;"",J16&lt;&gt;""),IF(K16&gt;=J16,1,0),0)+IF(AND(M16&lt;&gt;"",L16&lt;&gt;""),IF(M16&gt;=L16,1,0),0)+IF(AND(O16&lt;&gt;"",N16&lt;&gt;""),IF(O16&gt;=N16,1,0),0)+IF(AND(Q16&lt;&gt;"",P16&lt;&gt;""),IF(Q16&gt;=P16,1,0),0)+IF(AND(S16&lt;&gt;"",R16&lt;&gt;""),IF(S16&gt;=R16,1,0),0)</f>
        <v>0</v>
      </c>
      <c r="X16" s="21" t="n">
        <f aca="false">IF(AND(I16&lt;&gt;"",H16&lt;&gt;""),1,0)+IF(AND(K16&lt;&gt;"",J16&lt;&gt;""),1,0)+IF(AND(M16&lt;&gt;"",L16&lt;&gt;""),1,0)+IF(AND(O16&lt;&gt;"",N16&lt;&gt;""),1,0)+IF(AND(Q16&lt;&gt;"",P16&lt;&gt;""),1,0)+IF(AND(S16&lt;&gt;"",R16&lt;&gt;""),1,0)</f>
        <v>0</v>
      </c>
      <c r="Y16" s="51" t="str">
        <f aca="false">IF(X16=0,"",W16/X16)</f>
        <v/>
      </c>
      <c r="Z16" s="52" t="str">
        <f aca="false">IF(X16=0,"",(IF(AND(I16&lt;&gt;"",H16&lt;&gt;""),I16-H16,0)+IF(AND(K16&lt;&gt;"",J16&lt;&gt;""),K16-J16,0)+IF(AND(M16&lt;&gt;"",L16&lt;&gt;""),M16-L16,0)+IF(AND(O16&lt;&gt;"",N16&lt;&gt;""),O16-N16,0)+IF(AND(Q16&lt;&gt;"",P16&lt;&gt;""),Q16-P16,0)+IF(AND(S16&lt;&gt;"",R16&lt;&gt;""),S16-R16,0))/X16)</f>
        <v/>
      </c>
    </row>
    <row r="17" customFormat="false" ht="19.5" hidden="false" customHeight="true" outlineLevel="0" collapsed="false">
      <c r="A17" s="42"/>
      <c r="B17" s="43" t="s">
        <v>89</v>
      </c>
      <c r="C17" s="44" t="s">
        <v>113</v>
      </c>
      <c r="D17" s="44" t="s">
        <v>93</v>
      </c>
      <c r="E17" s="44" t="s">
        <v>94</v>
      </c>
      <c r="F17" s="45" t="n">
        <f aca="false">IF(E17="reps",3,4)</f>
        <v>3</v>
      </c>
      <c r="G17" s="45" t="n">
        <f aca="false">IF(E17="reps",8,12)</f>
        <v>8</v>
      </c>
      <c r="H17" s="46" t="n">
        <f aca="false">F17</f>
        <v>3</v>
      </c>
      <c r="I17" s="47"/>
      <c r="J17" s="46" t="str">
        <f aca="false">IF(I17="","",IF(FALSE(),F17,MIN(G17,I17+IF(E17="s",Reglas!$C$7,Reglas!$C$6))))</f>
        <v/>
      </c>
      <c r="K17" s="47"/>
      <c r="L17" s="46" t="str">
        <f aca="false">IF(K17="","",IF(AND(K17&gt;=G17,I17&gt;=G17),F17,MIN(G17,K17+IF(E17="s",Reglas!$C$7,Reglas!$C$6))))</f>
        <v/>
      </c>
      <c r="M17" s="47"/>
      <c r="N17" s="46" t="str">
        <f aca="false">IF(M17="","",IF(AND(M17&gt;=G17,K17&gt;=G17),F17,MIN(G17,M17+IF(E17="s",Reglas!$C$7,Reglas!$C$6))))</f>
        <v/>
      </c>
      <c r="O17" s="47"/>
      <c r="P17" s="46" t="str">
        <f aca="false">IF(O17="","",IF(AND(O17&gt;=G17,M17&gt;=G17),F17,MIN(G17,O17+IF(E17="s",Reglas!$C$7,Reglas!$C$6))))</f>
        <v/>
      </c>
      <c r="Q17" s="47"/>
      <c r="R17" s="46" t="str">
        <f aca="false">IF(Q17="","",IF(AND(Q17&gt;=G17,O17&gt;=G17),F17,MIN(G17,Q17+IF(E17="s",Reglas!$C$7,Reglas!$C$6))))</f>
        <v/>
      </c>
      <c r="S17" s="47"/>
      <c r="T17" s="48" t="str">
        <f aca="false">IF(S17&lt;&gt;"",S17,IF(Q17&lt;&gt;"",Q17,IF(O17&lt;&gt;"",O17,IF(M17&lt;&gt;"",M17,IF(K17&lt;&gt;"",K17,IF(I17&lt;&gt;"",I17,""))))))</f>
        <v/>
      </c>
      <c r="U17" s="49" t="str">
        <f aca="false">IF(B17="hold final","al fallo",IF(T17="",F17&amp;" (piso)",IF(AND(T17&gt;=G17,IF(AND(S17&lt;&gt;"",TRUE()),Q17,IF(AND(Q17&lt;&gt;"",S17=""),O17,IF(AND(O17&lt;&gt;"",Q17=""),M17,IF(AND(M17&lt;&gt;"",O17=""),K17,IF(AND(K17&lt;&gt;"",M17=""),I17,0)))))&gt;=G17),F17&amp;" (piso, progresión nueva)",MIN(G17,T17+IF(E17="s",Reglas!$C$7,Reglas!$C$6)))))</f>
        <v>3 (piso)</v>
      </c>
      <c r="V17" s="50" t="str">
        <f aca="false">IF(B17="hold final","",IF(T17="","sin datos",IF(AND(T17&gt;=G17,IF(AND(S17&lt;&gt;"",TRUE()),Q17,IF(AND(Q17&lt;&gt;"",S17=""),O17,IF(AND(O17&lt;&gt;"",Q17=""),M17,IF(AND(M17&lt;&gt;"",O17=""),K17,IF(AND(K17&lt;&gt;"",M17=""),I17,0)))))&gt;=G17),"⬆ SUBIR de progresión",IF(T17&gt;=G17,"techo 1 de 2",IF(T17&lt;F17,"bajo el piso: revisar","en rango")))))</f>
        <v>sin datos</v>
      </c>
      <c r="W17" s="21" t="n">
        <f aca="false">IF(AND(I17&lt;&gt;"",H17&lt;&gt;""),IF(I17&gt;=H17,1,0),0)+IF(AND(K17&lt;&gt;"",J17&lt;&gt;""),IF(K17&gt;=J17,1,0),0)+IF(AND(M17&lt;&gt;"",L17&lt;&gt;""),IF(M17&gt;=L17,1,0),0)+IF(AND(O17&lt;&gt;"",N17&lt;&gt;""),IF(O17&gt;=N17,1,0),0)+IF(AND(Q17&lt;&gt;"",P17&lt;&gt;""),IF(Q17&gt;=P17,1,0),0)+IF(AND(S17&lt;&gt;"",R17&lt;&gt;""),IF(S17&gt;=R17,1,0),0)</f>
        <v>0</v>
      </c>
      <c r="X17" s="21" t="n">
        <f aca="false">IF(AND(I17&lt;&gt;"",H17&lt;&gt;""),1,0)+IF(AND(K17&lt;&gt;"",J17&lt;&gt;""),1,0)+IF(AND(M17&lt;&gt;"",L17&lt;&gt;""),1,0)+IF(AND(O17&lt;&gt;"",N17&lt;&gt;""),1,0)+IF(AND(Q17&lt;&gt;"",P17&lt;&gt;""),1,0)+IF(AND(S17&lt;&gt;"",R17&lt;&gt;""),1,0)</f>
        <v>0</v>
      </c>
      <c r="Y17" s="51" t="str">
        <f aca="false">IF(X17=0,"",W17/X17)</f>
        <v/>
      </c>
      <c r="Z17" s="52" t="str">
        <f aca="false">IF(X17=0,"",(IF(AND(I17&lt;&gt;"",H17&lt;&gt;""),I17-H17,0)+IF(AND(K17&lt;&gt;"",J17&lt;&gt;""),K17-J17,0)+IF(AND(M17&lt;&gt;"",L17&lt;&gt;""),M17-L17,0)+IF(AND(O17&lt;&gt;"",N17&lt;&gt;""),O17-N17,0)+IF(AND(Q17&lt;&gt;"",P17&lt;&gt;""),Q17-P17,0)+IF(AND(S17&lt;&gt;"",R17&lt;&gt;""),S17-R17,0))/X17)</f>
        <v/>
      </c>
    </row>
    <row r="18" customFormat="false" ht="19.5" hidden="false" customHeight="true" outlineLevel="0" collapsed="false">
      <c r="A18" s="42"/>
      <c r="B18" s="53" t="s">
        <v>90</v>
      </c>
      <c r="C18" s="44" t="s">
        <v>113</v>
      </c>
      <c r="D18" s="44" t="s">
        <v>85</v>
      </c>
      <c r="E18" s="44" t="s">
        <v>86</v>
      </c>
      <c r="F18" s="45" t="n">
        <f aca="false">IF(E18="reps",3,4)</f>
        <v>4</v>
      </c>
      <c r="G18" s="45" t="n">
        <f aca="false">IF(E18="reps",8,12)</f>
        <v>12</v>
      </c>
      <c r="H18" s="46" t="s">
        <v>91</v>
      </c>
      <c r="I18" s="47"/>
      <c r="J18" s="46" t="s">
        <v>91</v>
      </c>
      <c r="K18" s="47"/>
      <c r="L18" s="46" t="s">
        <v>91</v>
      </c>
      <c r="M18" s="47"/>
      <c r="N18" s="46" t="s">
        <v>91</v>
      </c>
      <c r="O18" s="47"/>
      <c r="P18" s="46" t="s">
        <v>91</v>
      </c>
      <c r="Q18" s="47"/>
      <c r="R18" s="46" t="s">
        <v>91</v>
      </c>
      <c r="S18" s="47"/>
      <c r="T18" s="48" t="str">
        <f aca="false">IF(S18&lt;&gt;"",S18,IF(Q18&lt;&gt;"",Q18,IF(O18&lt;&gt;"",O18,IF(M18&lt;&gt;"",M18,IF(K18&lt;&gt;"",K18,IF(I18&lt;&gt;"",I18,""))))))</f>
        <v/>
      </c>
      <c r="U18" s="49" t="str">
        <f aca="false">IF(B18="hold final","al fallo",IF(T18="",F18&amp;" (piso)",IF(AND(T18&gt;=G18,IF(AND(S18&lt;&gt;"",TRUE()),Q18,IF(AND(Q18&lt;&gt;"",S18=""),O18,IF(AND(O18&lt;&gt;"",Q18=""),M18,IF(AND(M18&lt;&gt;"",O18=""),K18,IF(AND(K18&lt;&gt;"",M18=""),I18,0)))))&gt;=G18),F18&amp;" (piso, progresión nueva)",MIN(G18,T18+IF(E18="s",Reglas!$C$7,Reglas!$C$6)))))</f>
        <v>al fallo</v>
      </c>
      <c r="V18" s="50" t="str">
        <f aca="false">IF(B18="hold final","",IF(T18="","sin datos",IF(AND(T18&gt;=G18,IF(AND(S18&lt;&gt;"",TRUE()),Q18,IF(AND(Q18&lt;&gt;"",S18=""),O18,IF(AND(O18&lt;&gt;"",Q18=""),M18,IF(AND(M18&lt;&gt;"",O18=""),K18,IF(AND(K18&lt;&gt;"",M18=""),I18,0)))))&gt;=G18),"⬆ SUBIR de progresión",IF(T18&gt;=G18,"techo 1 de 2",IF(T18&lt;F18,"bajo el piso: revisar","en rango")))))</f>
        <v/>
      </c>
      <c r="W18" s="54"/>
      <c r="X18" s="54"/>
      <c r="Y18" s="54"/>
      <c r="Z18" s="54"/>
    </row>
  </sheetData>
  <conditionalFormatting sqref="V5:V20">
    <cfRule type="expression" priority="2" aboveAverage="0" equalAverage="0" bottom="0" percent="0" rank="0" text="" dxfId="0">
      <formula>LEFT(V5,1)="⬆"</formula>
    </cfRule>
    <cfRule type="expression" priority="3" aboveAverage="0" equalAverage="0" bottom="0" percent="0" rank="0" text="" dxfId="1">
      <formula>V5="techo 1 de 2"</formula>
    </cfRule>
    <cfRule type="expression" priority="4" aboveAverage="0" equalAverage="0" bottom="0" percent="0" rank="0" text="" dxfId="2">
      <formula>LEFT(V5,4)="bajo"</formula>
    </cfRule>
  </conditionalFormatting>
  <dataValidations count="5">
    <dataValidation allowBlank="true" errorStyle="stop" operator="between" showDropDown="false" showErrorMessage="false" showInputMessage="false" sqref="D5:D8 D10:D13 D15:D18" type="list">
      <formula1>"completa,negativa,hold"</formula1>
      <formula2>0</formula2>
    </dataValidation>
    <dataValidation allowBlank="true" errorStyle="stop" operator="between" showDropDown="false" showErrorMessage="false" showInputMessage="false" sqref="E5:E8 E10:E13 E15:E18" type="list">
      <formula1>"reps,s"</formula1>
      <formula2>0</formula2>
    </dataValidation>
    <dataValidation allowBlank="true" errorStyle="stop" operator="between" showDropDown="false" showErrorMessage="false" showInputMessage="false" sqref="C5:C8" type="list">
      <formula1>"libre déficit,libre,paralelas profundas,pared,wide en piso,pike elevado,pike"</formula1>
      <formula2>0</formula2>
    </dataValidation>
    <dataValidation allowBlank="true" errorStyle="stop" operator="between" showDropDown="false" showErrorMessage="false" showInputMessage="false" sqref="C10:C13" type="list">
      <formula1>"full,straddle,adv tuck,tuck,pike elevado"</formula1>
      <formula2>0</formula2>
    </dataValidation>
    <dataValidation allowBlank="true" errorStyle="stop" operator="between" showDropDown="false" showErrorMessage="false" showInputMessage="false" sqref="C15:C18" type="list">
      <formula1>"full,straddle,super adv tuck,adv tuck,tuck,pseudo,flexión"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31D44"/>
    <pageSetUpPr fitToPage="false"/>
  </sheetPr>
  <dimension ref="A1:Z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7" ySplit="4" topLeftCell="H5" activePane="bottomRight" state="frozen"/>
      <selection pane="topLeft" activeCell="A1" activeCellId="0" sqref="A1"/>
      <selection pane="topRight" activeCell="H1" activeCellId="0" sqref="H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9"/>
    <col collapsed="false" customWidth="true" hidden="false" outlineLevel="0" max="2" min="2" style="1" width="9"/>
    <col collapsed="false" customWidth="true" hidden="false" outlineLevel="0" max="3" min="3" style="1" width="20"/>
    <col collapsed="false" customWidth="true" hidden="false" outlineLevel="0" max="4" min="4" style="1" width="10"/>
    <col collapsed="false" customWidth="true" hidden="false" outlineLevel="0" max="5" min="5" style="1" width="6"/>
    <col collapsed="false" customWidth="true" hidden="false" outlineLevel="0" max="6" min="6" style="1" width="5"/>
    <col collapsed="false" customWidth="true" hidden="false" outlineLevel="0" max="7" min="7" style="1" width="6"/>
    <col collapsed="false" customWidth="true" hidden="false" outlineLevel="0" max="20" min="8" style="1" width="7"/>
    <col collapsed="false" customWidth="true" hidden="false" outlineLevel="0" max="21" min="21" style="1" width="14"/>
    <col collapsed="false" customWidth="true" hidden="false" outlineLevel="0" max="22" min="22" style="1" width="26"/>
    <col collapsed="false" customWidth="true" hidden="false" outlineLevel="0" max="24" min="23" style="1" width="8"/>
    <col collapsed="false" customWidth="true" hidden="false" outlineLevel="0" max="25" min="25" style="1" width="9"/>
    <col collapsed="false" customWidth="true" hidden="false" outlineLevel="0" max="26" min="26" style="1" width="8"/>
  </cols>
  <sheetData>
    <row r="1" customFormat="false" ht="19.5" hidden="false" customHeight="true" outlineLevel="0" collapsed="false">
      <c r="A1" s="14" t="s">
        <v>0</v>
      </c>
      <c r="B1" s="2"/>
      <c r="C1" s="2"/>
      <c r="D1" s="2"/>
      <c r="E1" s="2"/>
      <c r="F1" s="2"/>
      <c r="G1" s="2"/>
      <c r="H1" s="2"/>
      <c r="I1" s="2"/>
      <c r="J1" s="2"/>
      <c r="K1" s="2"/>
      <c r="L1" s="2"/>
      <c r="M1" s="2"/>
      <c r="N1" s="2"/>
      <c r="O1" s="2"/>
      <c r="P1" s="2"/>
      <c r="Q1" s="2"/>
      <c r="R1" s="2"/>
      <c r="S1" s="2"/>
      <c r="T1" s="2"/>
      <c r="U1" s="2"/>
      <c r="V1" s="2"/>
      <c r="W1" s="2"/>
      <c r="X1" s="2"/>
      <c r="Y1" s="2"/>
      <c r="Z1" s="2"/>
    </row>
    <row r="2" customFormat="false" ht="15" hidden="false" customHeight="true" outlineLevel="0" collapsed="false">
      <c r="A2" s="28" t="s">
        <v>114</v>
      </c>
      <c r="B2" s="2"/>
      <c r="C2" s="2"/>
      <c r="D2" s="2"/>
      <c r="E2" s="2"/>
      <c r="F2" s="2"/>
      <c r="G2" s="2"/>
      <c r="H2" s="2"/>
      <c r="I2" s="2"/>
      <c r="J2" s="2"/>
      <c r="K2" s="2"/>
      <c r="L2" s="2"/>
      <c r="M2" s="2"/>
      <c r="N2" s="2"/>
      <c r="O2" s="2"/>
      <c r="P2" s="2"/>
      <c r="Q2" s="2"/>
      <c r="R2" s="2"/>
      <c r="S2" s="2"/>
      <c r="T2" s="2"/>
      <c r="U2" s="2"/>
      <c r="V2" s="2"/>
      <c r="W2" s="2"/>
      <c r="X2" s="2"/>
      <c r="Y2" s="2"/>
      <c r="Z2" s="2"/>
    </row>
    <row r="3" customFormat="false" ht="15" hidden="false" customHeight="true" outlineLevel="0" collapsed="false">
      <c r="A3" s="15" t="s">
        <v>101</v>
      </c>
      <c r="B3" s="2"/>
      <c r="C3" s="2"/>
      <c r="D3" s="2"/>
      <c r="E3" s="2"/>
      <c r="F3" s="2"/>
      <c r="G3" s="2"/>
      <c r="H3" s="2"/>
      <c r="I3" s="2"/>
      <c r="J3" s="2"/>
      <c r="K3" s="2"/>
      <c r="L3" s="2"/>
      <c r="M3" s="2"/>
      <c r="N3" s="2"/>
      <c r="O3" s="2"/>
      <c r="P3" s="2"/>
      <c r="Q3" s="2"/>
      <c r="R3" s="2"/>
      <c r="S3" s="2"/>
      <c r="T3" s="2"/>
      <c r="U3" s="2"/>
      <c r="V3" s="2"/>
      <c r="W3" s="2"/>
      <c r="X3" s="2"/>
      <c r="Y3" s="2"/>
      <c r="Z3" s="2"/>
    </row>
    <row r="4" customFormat="false" ht="36" hidden="false" customHeight="true" outlineLevel="0" collapsed="false">
      <c r="A4" s="29" t="s">
        <v>58</v>
      </c>
      <c r="B4" s="29" t="s">
        <v>59</v>
      </c>
      <c r="C4" s="29" t="s">
        <v>48</v>
      </c>
      <c r="D4" s="29" t="s">
        <v>60</v>
      </c>
      <c r="E4" s="29" t="s">
        <v>61</v>
      </c>
      <c r="F4" s="29" t="s">
        <v>62</v>
      </c>
      <c r="G4" s="29" t="s">
        <v>63</v>
      </c>
      <c r="H4" s="29" t="s">
        <v>64</v>
      </c>
      <c r="I4" s="29" t="s">
        <v>65</v>
      </c>
      <c r="J4" s="29" t="s">
        <v>66</v>
      </c>
      <c r="K4" s="29" t="s">
        <v>67</v>
      </c>
      <c r="L4" s="29" t="s">
        <v>68</v>
      </c>
      <c r="M4" s="29" t="s">
        <v>69</v>
      </c>
      <c r="N4" s="29" t="s">
        <v>70</v>
      </c>
      <c r="O4" s="29" t="s">
        <v>71</v>
      </c>
      <c r="P4" s="29" t="s">
        <v>72</v>
      </c>
      <c r="Q4" s="29" t="s">
        <v>73</v>
      </c>
      <c r="R4" s="29" t="s">
        <v>74</v>
      </c>
      <c r="S4" s="29" t="s">
        <v>75</v>
      </c>
      <c r="T4" s="29" t="s">
        <v>76</v>
      </c>
      <c r="U4" s="29" t="s">
        <v>77</v>
      </c>
      <c r="V4" s="29" t="s">
        <v>51</v>
      </c>
      <c r="W4" s="29" t="s">
        <v>78</v>
      </c>
      <c r="X4" s="29" t="s">
        <v>79</v>
      </c>
      <c r="Y4" s="29" t="s">
        <v>80</v>
      </c>
      <c r="Z4" s="29" t="s">
        <v>81</v>
      </c>
    </row>
    <row r="5" customFormat="false" ht="19.5" hidden="false" customHeight="true" outlineLevel="0" collapsed="false">
      <c r="A5" s="30" t="s">
        <v>115</v>
      </c>
      <c r="B5" s="31" t="s">
        <v>83</v>
      </c>
      <c r="C5" s="32" t="s">
        <v>116</v>
      </c>
      <c r="D5" s="32" t="s">
        <v>93</v>
      </c>
      <c r="E5" s="32" t="s">
        <v>94</v>
      </c>
      <c r="F5" s="33" t="n">
        <f aca="false">IF(E5="reps",3,4)</f>
        <v>3</v>
      </c>
      <c r="G5" s="33" t="n">
        <f aca="false">IF(E5="reps",8,12)</f>
        <v>8</v>
      </c>
      <c r="H5" s="34" t="n">
        <f aca="false">F5</f>
        <v>3</v>
      </c>
      <c r="I5" s="35"/>
      <c r="J5" s="34" t="str">
        <f aca="false">IF(I5="","",IF(FALSE(),F5,MIN(G5,I5+IF(E5="s",Reglas!$C$7,Reglas!$C$6))))</f>
        <v/>
      </c>
      <c r="K5" s="35"/>
      <c r="L5" s="34" t="str">
        <f aca="false">IF(K5="","",IF(AND(K5&gt;=G5,I5&gt;=G5),F5,MIN(G5,K5+IF(E5="s",Reglas!$C$7,Reglas!$C$6))))</f>
        <v/>
      </c>
      <c r="M5" s="35"/>
      <c r="N5" s="34" t="str">
        <f aca="false">IF(M5="","",IF(AND(M5&gt;=G5,K5&gt;=G5),F5,MIN(G5,M5+IF(E5="s",Reglas!$C$7,Reglas!$C$6))))</f>
        <v/>
      </c>
      <c r="O5" s="35"/>
      <c r="P5" s="34" t="str">
        <f aca="false">IF(O5="","",IF(AND(O5&gt;=G5,M5&gt;=G5),F5,MIN(G5,O5+IF(E5="s",Reglas!$C$7,Reglas!$C$6))))</f>
        <v/>
      </c>
      <c r="Q5" s="35"/>
      <c r="R5" s="34" t="str">
        <f aca="false">IF(Q5="","",IF(AND(Q5&gt;=G5,O5&gt;=G5),F5,MIN(G5,Q5+IF(E5="s",Reglas!$C$7,Reglas!$C$6))))</f>
        <v/>
      </c>
      <c r="S5" s="35"/>
      <c r="T5" s="36" t="str">
        <f aca="false">IF(S5&lt;&gt;"",S5,IF(Q5&lt;&gt;"",Q5,IF(O5&lt;&gt;"",O5,IF(M5&lt;&gt;"",M5,IF(K5&lt;&gt;"",K5,IF(I5&lt;&gt;"",I5,""))))))</f>
        <v/>
      </c>
      <c r="U5" s="37" t="str">
        <f aca="false">IF(B5="hold final","al fallo",IF(T5="",F5&amp;" (piso)",IF(AND(T5&gt;=G5,IF(AND(S5&lt;&gt;"",TRUE()),Q5,IF(AND(Q5&lt;&gt;"",S5=""),O5,IF(AND(O5&lt;&gt;"",Q5=""),M5,IF(AND(M5&lt;&gt;"",O5=""),K5,IF(AND(K5&lt;&gt;"",M5=""),I5,0)))))&gt;=G5),F5&amp;" (piso, progresión nueva)",MIN(G5,T5+IF(E5="s",Reglas!$C$7,Reglas!$C$6)))))</f>
        <v>3 (piso)</v>
      </c>
      <c r="V5" s="38" t="str">
        <f aca="false">IF(B5="hold final","",IF(T5="","sin datos",IF(AND(T5&gt;=G5,IF(AND(S5&lt;&gt;"",TRUE()),Q5,IF(AND(Q5&lt;&gt;"",S5=""),O5,IF(AND(O5&lt;&gt;"",Q5=""),M5,IF(AND(M5&lt;&gt;"",O5=""),K5,IF(AND(K5&lt;&gt;"",M5=""),I5,0)))))&gt;=G5),"⬆ SUBIR de progresión",IF(T5&gt;=G5,"techo 1 de 2",IF(T5&lt;F5,"bajo el piso: revisar","en rango")))))</f>
        <v>sin datos</v>
      </c>
      <c r="W5" s="39" t="n">
        <f aca="false">IF(AND(I5&lt;&gt;"",H5&lt;&gt;""),IF(I5&gt;=H5,1,0),0)+IF(AND(K5&lt;&gt;"",J5&lt;&gt;""),IF(K5&gt;=J5,1,0),0)+IF(AND(M5&lt;&gt;"",L5&lt;&gt;""),IF(M5&gt;=L5,1,0),0)+IF(AND(O5&lt;&gt;"",N5&lt;&gt;""),IF(O5&gt;=N5,1,0),0)+IF(AND(Q5&lt;&gt;"",P5&lt;&gt;""),IF(Q5&gt;=P5,1,0),0)+IF(AND(S5&lt;&gt;"",R5&lt;&gt;""),IF(S5&gt;=R5,1,0),0)</f>
        <v>0</v>
      </c>
      <c r="X5" s="39" t="n">
        <f aca="false">IF(AND(I5&lt;&gt;"",H5&lt;&gt;""),1,0)+IF(AND(K5&lt;&gt;"",J5&lt;&gt;""),1,0)+IF(AND(M5&lt;&gt;"",L5&lt;&gt;""),1,0)+IF(AND(O5&lt;&gt;"",N5&lt;&gt;""),1,0)+IF(AND(Q5&lt;&gt;"",P5&lt;&gt;""),1,0)+IF(AND(S5&lt;&gt;"",R5&lt;&gt;""),1,0)</f>
        <v>0</v>
      </c>
      <c r="Y5" s="40" t="str">
        <f aca="false">IF(X5=0,"",W5/X5)</f>
        <v/>
      </c>
      <c r="Z5" s="41" t="str">
        <f aca="false">IF(X5=0,"",(IF(AND(I5&lt;&gt;"",H5&lt;&gt;""),I5-H5,0)+IF(AND(K5&lt;&gt;"",J5&lt;&gt;""),K5-J5,0)+IF(AND(M5&lt;&gt;"",L5&lt;&gt;""),M5-L5,0)+IF(AND(O5&lt;&gt;"",N5&lt;&gt;""),O5-N5,0)+IF(AND(Q5&lt;&gt;"",P5&lt;&gt;""),Q5-P5,0)+IF(AND(S5&lt;&gt;"",R5&lt;&gt;""),S5-R5,0))/X5)</f>
        <v/>
      </c>
    </row>
    <row r="6" customFormat="false" ht="19.5" hidden="false" customHeight="true" outlineLevel="0" collapsed="false">
      <c r="A6" s="42"/>
      <c r="B6" s="43" t="s">
        <v>87</v>
      </c>
      <c r="C6" s="44" t="s">
        <v>117</v>
      </c>
      <c r="D6" s="44" t="s">
        <v>95</v>
      </c>
      <c r="E6" s="44" t="s">
        <v>94</v>
      </c>
      <c r="F6" s="45" t="n">
        <f aca="false">IF(E6="reps",3,4)</f>
        <v>3</v>
      </c>
      <c r="G6" s="45" t="n">
        <f aca="false">IF(E6="reps",8,12)</f>
        <v>8</v>
      </c>
      <c r="H6" s="46" t="n">
        <f aca="false">F6</f>
        <v>3</v>
      </c>
      <c r="I6" s="47"/>
      <c r="J6" s="46" t="str">
        <f aca="false">IF(I6="","",IF(FALSE(),F6,MIN(G6,I6+IF(E6="s",Reglas!$C$7,Reglas!$C$6))))</f>
        <v/>
      </c>
      <c r="K6" s="47"/>
      <c r="L6" s="46" t="str">
        <f aca="false">IF(K6="","",IF(AND(K6&gt;=G6,I6&gt;=G6),F6,MIN(G6,K6+IF(E6="s",Reglas!$C$7,Reglas!$C$6))))</f>
        <v/>
      </c>
      <c r="M6" s="47"/>
      <c r="N6" s="46" t="str">
        <f aca="false">IF(M6="","",IF(AND(M6&gt;=G6,K6&gt;=G6),F6,MIN(G6,M6+IF(E6="s",Reglas!$C$7,Reglas!$C$6))))</f>
        <v/>
      </c>
      <c r="O6" s="47"/>
      <c r="P6" s="46" t="str">
        <f aca="false">IF(O6="","",IF(AND(O6&gt;=G6,M6&gt;=G6),F6,MIN(G6,O6+IF(E6="s",Reglas!$C$7,Reglas!$C$6))))</f>
        <v/>
      </c>
      <c r="Q6" s="47"/>
      <c r="R6" s="46" t="str">
        <f aca="false">IF(Q6="","",IF(AND(Q6&gt;=G6,O6&gt;=G6),F6,MIN(G6,Q6+IF(E6="s",Reglas!$C$7,Reglas!$C$6))))</f>
        <v/>
      </c>
      <c r="S6" s="47"/>
      <c r="T6" s="48" t="str">
        <f aca="false">IF(S6&lt;&gt;"",S6,IF(Q6&lt;&gt;"",Q6,IF(O6&lt;&gt;"",O6,IF(M6&lt;&gt;"",M6,IF(K6&lt;&gt;"",K6,IF(I6&lt;&gt;"",I6,""))))))</f>
        <v/>
      </c>
      <c r="U6" s="49" t="str">
        <f aca="false">IF(B6="hold final","al fallo",IF(T6="",F6&amp;" (piso)",IF(AND(T6&gt;=G6,IF(AND(S6&lt;&gt;"",TRUE()),Q6,IF(AND(Q6&lt;&gt;"",S6=""),O6,IF(AND(O6&lt;&gt;"",Q6=""),M6,IF(AND(M6&lt;&gt;"",O6=""),K6,IF(AND(K6&lt;&gt;"",M6=""),I6,0)))))&gt;=G6),F6&amp;" (piso, progresión nueva)",MIN(G6,T6+IF(E6="s",Reglas!$C$7,Reglas!$C$6)))))</f>
        <v>3 (piso)</v>
      </c>
      <c r="V6" s="50" t="str">
        <f aca="false">IF(B6="hold final","",IF(T6="","sin datos",IF(AND(T6&gt;=G6,IF(AND(S6&lt;&gt;"",TRUE()),Q6,IF(AND(Q6&lt;&gt;"",S6=""),O6,IF(AND(O6&lt;&gt;"",Q6=""),M6,IF(AND(M6&lt;&gt;"",O6=""),K6,IF(AND(K6&lt;&gt;"",M6=""),I6,0)))))&gt;=G6),"⬆ SUBIR de progresión",IF(T6&gt;=G6,"techo 1 de 2",IF(T6&lt;F6,"bajo el piso: revisar","en rango")))))</f>
        <v>sin datos</v>
      </c>
      <c r="W6" s="21" t="n">
        <f aca="false">IF(AND(I6&lt;&gt;"",H6&lt;&gt;""),IF(I6&gt;=H6,1,0),0)+IF(AND(K6&lt;&gt;"",J6&lt;&gt;""),IF(K6&gt;=J6,1,0),0)+IF(AND(M6&lt;&gt;"",L6&lt;&gt;""),IF(M6&gt;=L6,1,0),0)+IF(AND(O6&lt;&gt;"",N6&lt;&gt;""),IF(O6&gt;=N6,1,0),0)+IF(AND(Q6&lt;&gt;"",P6&lt;&gt;""),IF(Q6&gt;=P6,1,0),0)+IF(AND(S6&lt;&gt;"",R6&lt;&gt;""),IF(S6&gt;=R6,1,0),0)</f>
        <v>0</v>
      </c>
      <c r="X6" s="21" t="n">
        <f aca="false">IF(AND(I6&lt;&gt;"",H6&lt;&gt;""),1,0)+IF(AND(K6&lt;&gt;"",J6&lt;&gt;""),1,0)+IF(AND(M6&lt;&gt;"",L6&lt;&gt;""),1,0)+IF(AND(O6&lt;&gt;"",N6&lt;&gt;""),1,0)+IF(AND(Q6&lt;&gt;"",P6&lt;&gt;""),1,0)+IF(AND(S6&lt;&gt;"",R6&lt;&gt;""),1,0)</f>
        <v>0</v>
      </c>
      <c r="Y6" s="51" t="str">
        <f aca="false">IF(X6=0,"",W6/X6)</f>
        <v/>
      </c>
      <c r="Z6" s="52" t="str">
        <f aca="false">IF(X6=0,"",(IF(AND(I6&lt;&gt;"",H6&lt;&gt;""),I6-H6,0)+IF(AND(K6&lt;&gt;"",J6&lt;&gt;""),K6-J6,0)+IF(AND(M6&lt;&gt;"",L6&lt;&gt;""),M6-L6,0)+IF(AND(O6&lt;&gt;"",N6&lt;&gt;""),O6-N6,0)+IF(AND(Q6&lt;&gt;"",P6&lt;&gt;""),Q6-P6,0)+IF(AND(S6&lt;&gt;"",R6&lt;&gt;""),S6-R6,0))/X6)</f>
        <v/>
      </c>
    </row>
    <row r="7" customFormat="false" ht="19.5" hidden="false" customHeight="true" outlineLevel="0" collapsed="false">
      <c r="A7" s="42"/>
      <c r="B7" s="43" t="s">
        <v>89</v>
      </c>
      <c r="C7" s="44" t="s">
        <v>118</v>
      </c>
      <c r="D7" s="44" t="s">
        <v>93</v>
      </c>
      <c r="E7" s="44" t="s">
        <v>94</v>
      </c>
      <c r="F7" s="45" t="n">
        <f aca="false">IF(E7="reps",3,4)</f>
        <v>3</v>
      </c>
      <c r="G7" s="45" t="n">
        <f aca="false">IF(E7="reps",8,12)</f>
        <v>8</v>
      </c>
      <c r="H7" s="46" t="n">
        <f aca="false">F7</f>
        <v>3</v>
      </c>
      <c r="I7" s="47"/>
      <c r="J7" s="46" t="str">
        <f aca="false">IF(I7="","",IF(FALSE(),F7,MIN(G7,I7+IF(E7="s",Reglas!$C$7,Reglas!$C$6))))</f>
        <v/>
      </c>
      <c r="K7" s="47"/>
      <c r="L7" s="46" t="str">
        <f aca="false">IF(K7="","",IF(AND(K7&gt;=G7,I7&gt;=G7),F7,MIN(G7,K7+IF(E7="s",Reglas!$C$7,Reglas!$C$6))))</f>
        <v/>
      </c>
      <c r="M7" s="47"/>
      <c r="N7" s="46" t="str">
        <f aca="false">IF(M7="","",IF(AND(M7&gt;=G7,K7&gt;=G7),F7,MIN(G7,M7+IF(E7="s",Reglas!$C$7,Reglas!$C$6))))</f>
        <v/>
      </c>
      <c r="O7" s="47"/>
      <c r="P7" s="46" t="str">
        <f aca="false">IF(O7="","",IF(AND(O7&gt;=G7,M7&gt;=G7),F7,MIN(G7,O7+IF(E7="s",Reglas!$C$7,Reglas!$C$6))))</f>
        <v/>
      </c>
      <c r="Q7" s="47"/>
      <c r="R7" s="46" t="str">
        <f aca="false">IF(Q7="","",IF(AND(Q7&gt;=G7,O7&gt;=G7),F7,MIN(G7,Q7+IF(E7="s",Reglas!$C$7,Reglas!$C$6))))</f>
        <v/>
      </c>
      <c r="S7" s="47"/>
      <c r="T7" s="48" t="str">
        <f aca="false">IF(S7&lt;&gt;"",S7,IF(Q7&lt;&gt;"",Q7,IF(O7&lt;&gt;"",O7,IF(M7&lt;&gt;"",M7,IF(K7&lt;&gt;"",K7,IF(I7&lt;&gt;"",I7,""))))))</f>
        <v/>
      </c>
      <c r="U7" s="49" t="str">
        <f aca="false">IF(B7="hold final","al fallo",IF(T7="",F7&amp;" (piso)",IF(AND(T7&gt;=G7,IF(AND(S7&lt;&gt;"",TRUE()),Q7,IF(AND(Q7&lt;&gt;"",S7=""),O7,IF(AND(O7&lt;&gt;"",Q7=""),M7,IF(AND(M7&lt;&gt;"",O7=""),K7,IF(AND(K7&lt;&gt;"",M7=""),I7,0)))))&gt;=G7),F7&amp;" (piso, progresión nueva)",MIN(G7,T7+IF(E7="s",Reglas!$C$7,Reglas!$C$6)))))</f>
        <v>3 (piso)</v>
      </c>
      <c r="V7" s="50" t="str">
        <f aca="false">IF(B7="hold final","",IF(T7="","sin datos",IF(AND(T7&gt;=G7,IF(AND(S7&lt;&gt;"",TRUE()),Q7,IF(AND(Q7&lt;&gt;"",S7=""),O7,IF(AND(O7&lt;&gt;"",Q7=""),M7,IF(AND(M7&lt;&gt;"",O7=""),K7,IF(AND(K7&lt;&gt;"",M7=""),I7,0)))))&gt;=G7),"⬆ SUBIR de progresión",IF(T7&gt;=G7,"techo 1 de 2",IF(T7&lt;F7,"bajo el piso: revisar","en rango")))))</f>
        <v>sin datos</v>
      </c>
      <c r="W7" s="21" t="n">
        <f aca="false">IF(AND(I7&lt;&gt;"",H7&lt;&gt;""),IF(I7&gt;=H7,1,0),0)+IF(AND(K7&lt;&gt;"",J7&lt;&gt;""),IF(K7&gt;=J7,1,0),0)+IF(AND(M7&lt;&gt;"",L7&lt;&gt;""),IF(M7&gt;=L7,1,0),0)+IF(AND(O7&lt;&gt;"",N7&lt;&gt;""),IF(O7&gt;=N7,1,0),0)+IF(AND(Q7&lt;&gt;"",P7&lt;&gt;""),IF(Q7&gt;=P7,1,0),0)+IF(AND(S7&lt;&gt;"",R7&lt;&gt;""),IF(S7&gt;=R7,1,0),0)</f>
        <v>0</v>
      </c>
      <c r="X7" s="21" t="n">
        <f aca="false">IF(AND(I7&lt;&gt;"",H7&lt;&gt;""),1,0)+IF(AND(K7&lt;&gt;"",J7&lt;&gt;""),1,0)+IF(AND(M7&lt;&gt;"",L7&lt;&gt;""),1,0)+IF(AND(O7&lt;&gt;"",N7&lt;&gt;""),1,0)+IF(AND(Q7&lt;&gt;"",P7&lt;&gt;""),1,0)+IF(AND(S7&lt;&gt;"",R7&lt;&gt;""),1,0)</f>
        <v>0</v>
      </c>
      <c r="Y7" s="51" t="str">
        <f aca="false">IF(X7=0,"",W7/X7)</f>
        <v/>
      </c>
      <c r="Z7" s="52" t="str">
        <f aca="false">IF(X7=0,"",(IF(AND(I7&lt;&gt;"",H7&lt;&gt;""),I7-H7,0)+IF(AND(K7&lt;&gt;"",J7&lt;&gt;""),K7-J7,0)+IF(AND(M7&lt;&gt;"",L7&lt;&gt;""),M7-L7,0)+IF(AND(O7&lt;&gt;"",N7&lt;&gt;""),O7-N7,0)+IF(AND(Q7&lt;&gt;"",P7&lt;&gt;""),Q7-P7,0)+IF(AND(S7&lt;&gt;"",R7&lt;&gt;""),S7-R7,0))/X7)</f>
        <v/>
      </c>
    </row>
    <row r="8" customFormat="false" ht="19.5" hidden="false" customHeight="true" outlineLevel="0" collapsed="false">
      <c r="A8" s="42"/>
      <c r="B8" s="53" t="s">
        <v>90</v>
      </c>
      <c r="C8" s="44" t="s">
        <v>119</v>
      </c>
      <c r="D8" s="44" t="s">
        <v>85</v>
      </c>
      <c r="E8" s="44" t="s">
        <v>86</v>
      </c>
      <c r="F8" s="45" t="n">
        <f aca="false">IF(E8="reps",3,4)</f>
        <v>4</v>
      </c>
      <c r="G8" s="45" t="n">
        <f aca="false">IF(E8="reps",8,12)</f>
        <v>12</v>
      </c>
      <c r="H8" s="46" t="s">
        <v>91</v>
      </c>
      <c r="I8" s="47"/>
      <c r="J8" s="46" t="s">
        <v>91</v>
      </c>
      <c r="K8" s="47"/>
      <c r="L8" s="46" t="s">
        <v>91</v>
      </c>
      <c r="M8" s="47"/>
      <c r="N8" s="46" t="s">
        <v>91</v>
      </c>
      <c r="O8" s="47"/>
      <c r="P8" s="46" t="s">
        <v>91</v>
      </c>
      <c r="Q8" s="47"/>
      <c r="R8" s="46" t="s">
        <v>91</v>
      </c>
      <c r="S8" s="47"/>
      <c r="T8" s="48" t="str">
        <f aca="false">IF(S8&lt;&gt;"",S8,IF(Q8&lt;&gt;"",Q8,IF(O8&lt;&gt;"",O8,IF(M8&lt;&gt;"",M8,IF(K8&lt;&gt;"",K8,IF(I8&lt;&gt;"",I8,""))))))</f>
        <v/>
      </c>
      <c r="U8" s="49" t="str">
        <f aca="false">IF(B8="hold final","al fallo",IF(T8="",F8&amp;" (piso)",IF(AND(T8&gt;=G8,IF(AND(S8&lt;&gt;"",TRUE()),Q8,IF(AND(Q8&lt;&gt;"",S8=""),O8,IF(AND(O8&lt;&gt;"",Q8=""),M8,IF(AND(M8&lt;&gt;"",O8=""),K8,IF(AND(K8&lt;&gt;"",M8=""),I8,0)))))&gt;=G8),F8&amp;" (piso, progresión nueva)",MIN(G8,T8+IF(E8="s",Reglas!$C$7,Reglas!$C$6)))))</f>
        <v>al fallo</v>
      </c>
      <c r="V8" s="50" t="str">
        <f aca="false">IF(B8="hold final","",IF(T8="","sin datos",IF(AND(T8&gt;=G8,IF(AND(S8&lt;&gt;"",TRUE()),Q8,IF(AND(Q8&lt;&gt;"",S8=""),O8,IF(AND(O8&lt;&gt;"",Q8=""),M8,IF(AND(M8&lt;&gt;"",O8=""),K8,IF(AND(K8&lt;&gt;"",M8=""),I8,0)))))&gt;=G8),"⬆ SUBIR de progresión",IF(T8&gt;=G8,"techo 1 de 2",IF(T8&lt;F8,"bajo el piso: revisar","en rango")))))</f>
        <v/>
      </c>
      <c r="W8" s="54"/>
      <c r="X8" s="54"/>
      <c r="Y8" s="54"/>
      <c r="Z8" s="54"/>
    </row>
    <row r="10" customFormat="false" ht="19.5" hidden="false" customHeight="true" outlineLevel="0" collapsed="false">
      <c r="A10" s="55" t="s">
        <v>120</v>
      </c>
      <c r="B10" s="56" t="s">
        <v>83</v>
      </c>
      <c r="C10" s="32" t="s">
        <v>121</v>
      </c>
      <c r="D10" s="32" t="s">
        <v>93</v>
      </c>
      <c r="E10" s="32" t="s">
        <v>94</v>
      </c>
      <c r="F10" s="57" t="n">
        <f aca="false">IF(E10="reps",3,4)</f>
        <v>3</v>
      </c>
      <c r="G10" s="57" t="n">
        <f aca="false">IF(E10="reps",8,12)</f>
        <v>8</v>
      </c>
      <c r="H10" s="34" t="n">
        <f aca="false">F10</f>
        <v>3</v>
      </c>
      <c r="I10" s="35"/>
      <c r="J10" s="34" t="str">
        <f aca="false">IF(I10="","",IF(FALSE(),F10,MIN(G10,I10+IF(E10="s",Reglas!$C$7,Reglas!$C$6))))</f>
        <v/>
      </c>
      <c r="K10" s="35"/>
      <c r="L10" s="34" t="str">
        <f aca="false">IF(K10="","",IF(AND(K10&gt;=G10,I10&gt;=G10),F10,MIN(G10,K10+IF(E10="s",Reglas!$C$7,Reglas!$C$6))))</f>
        <v/>
      </c>
      <c r="M10" s="35"/>
      <c r="N10" s="34" t="str">
        <f aca="false">IF(M10="","",IF(AND(M10&gt;=G10,K10&gt;=G10),F10,MIN(G10,M10+IF(E10="s",Reglas!$C$7,Reglas!$C$6))))</f>
        <v/>
      </c>
      <c r="O10" s="35"/>
      <c r="P10" s="34" t="str">
        <f aca="false">IF(O10="","",IF(AND(O10&gt;=G10,M10&gt;=G10),F10,MIN(G10,O10+IF(E10="s",Reglas!$C$7,Reglas!$C$6))))</f>
        <v/>
      </c>
      <c r="Q10" s="35"/>
      <c r="R10" s="34" t="str">
        <f aca="false">IF(Q10="","",IF(AND(Q10&gt;=G10,O10&gt;=G10),F10,MIN(G10,Q10+IF(E10="s",Reglas!$C$7,Reglas!$C$6))))</f>
        <v/>
      </c>
      <c r="S10" s="35"/>
      <c r="T10" s="58" t="str">
        <f aca="false">IF(S10&lt;&gt;"",S10,IF(Q10&lt;&gt;"",Q10,IF(O10&lt;&gt;"",O10,IF(M10&lt;&gt;"",M10,IF(K10&lt;&gt;"",K10,IF(I10&lt;&gt;"",I10,""))))))</f>
        <v/>
      </c>
      <c r="U10" s="59" t="str">
        <f aca="false">IF(B10="hold final","al fallo",IF(T10="",F10&amp;" (piso)",IF(AND(T10&gt;=G10,IF(AND(S10&lt;&gt;"",TRUE()),Q10,IF(AND(Q10&lt;&gt;"",S10=""),O10,IF(AND(O10&lt;&gt;"",Q10=""),M10,IF(AND(M10&lt;&gt;"",O10=""),K10,IF(AND(K10&lt;&gt;"",M10=""),I10,0)))))&gt;=G10),F10&amp;" (piso, progresión nueva)",MIN(G10,T10+IF(E10="s",Reglas!$C$7,Reglas!$C$6)))))</f>
        <v>3 (piso)</v>
      </c>
      <c r="V10" s="60" t="str">
        <f aca="false">IF(B10="hold final","",IF(T10="","sin datos",IF(AND(T10&gt;=G10,IF(AND(S10&lt;&gt;"",TRUE()),Q10,IF(AND(Q10&lt;&gt;"",S10=""),O10,IF(AND(O10&lt;&gt;"",Q10=""),M10,IF(AND(M10&lt;&gt;"",O10=""),K10,IF(AND(K10&lt;&gt;"",M10=""),I10,0)))))&gt;=G10),"⬆ SUBIR de progresión",IF(T10&gt;=G10,"techo 1 de 2",IF(T10&lt;F10,"bajo el piso: revisar","en rango")))))</f>
        <v>sin datos</v>
      </c>
      <c r="W10" s="61" t="n">
        <f aca="false">IF(AND(I10&lt;&gt;"",H10&lt;&gt;""),IF(I10&gt;=H10,1,0),0)+IF(AND(K10&lt;&gt;"",J10&lt;&gt;""),IF(K10&gt;=J10,1,0),0)+IF(AND(M10&lt;&gt;"",L10&lt;&gt;""),IF(M10&gt;=L10,1,0),0)+IF(AND(O10&lt;&gt;"",N10&lt;&gt;""),IF(O10&gt;=N10,1,0),0)+IF(AND(Q10&lt;&gt;"",P10&lt;&gt;""),IF(Q10&gt;=P10,1,0),0)+IF(AND(S10&lt;&gt;"",R10&lt;&gt;""),IF(S10&gt;=R10,1,0),0)</f>
        <v>0</v>
      </c>
      <c r="X10" s="61" t="n">
        <f aca="false">IF(AND(I10&lt;&gt;"",H10&lt;&gt;""),1,0)+IF(AND(K10&lt;&gt;"",J10&lt;&gt;""),1,0)+IF(AND(M10&lt;&gt;"",L10&lt;&gt;""),1,0)+IF(AND(O10&lt;&gt;"",N10&lt;&gt;""),1,0)+IF(AND(Q10&lt;&gt;"",P10&lt;&gt;""),1,0)+IF(AND(S10&lt;&gt;"",R10&lt;&gt;""),1,0)</f>
        <v>0</v>
      </c>
      <c r="Y10" s="62" t="str">
        <f aca="false">IF(X10=0,"",W10/X10)</f>
        <v/>
      </c>
      <c r="Z10" s="63" t="str">
        <f aca="false">IF(X10=0,"",(IF(AND(I10&lt;&gt;"",H10&lt;&gt;""),I10-H10,0)+IF(AND(K10&lt;&gt;"",J10&lt;&gt;""),K10-J10,0)+IF(AND(M10&lt;&gt;"",L10&lt;&gt;""),M10-L10,0)+IF(AND(O10&lt;&gt;"",N10&lt;&gt;""),O10-N10,0)+IF(AND(Q10&lt;&gt;"",P10&lt;&gt;""),Q10-P10,0)+IF(AND(S10&lt;&gt;"",R10&lt;&gt;""),S10-R10,0))/X10)</f>
        <v/>
      </c>
    </row>
    <row r="11" customFormat="false" ht="19.5" hidden="false" customHeight="true" outlineLevel="0" collapsed="false">
      <c r="A11" s="64"/>
      <c r="B11" s="65" t="s">
        <v>87</v>
      </c>
      <c r="C11" s="44" t="s">
        <v>121</v>
      </c>
      <c r="D11" s="44" t="s">
        <v>95</v>
      </c>
      <c r="E11" s="44" t="s">
        <v>94</v>
      </c>
      <c r="F11" s="66" t="n">
        <f aca="false">IF(E11="reps",3,4)</f>
        <v>3</v>
      </c>
      <c r="G11" s="66" t="n">
        <f aca="false">IF(E11="reps",8,12)</f>
        <v>8</v>
      </c>
      <c r="H11" s="46" t="n">
        <f aca="false">F11</f>
        <v>3</v>
      </c>
      <c r="I11" s="47"/>
      <c r="J11" s="46" t="str">
        <f aca="false">IF(I11="","",IF(FALSE(),F11,MIN(G11,I11+IF(E11="s",Reglas!$C$7,Reglas!$C$6))))</f>
        <v/>
      </c>
      <c r="K11" s="47"/>
      <c r="L11" s="46" t="str">
        <f aca="false">IF(K11="","",IF(AND(K11&gt;=G11,I11&gt;=G11),F11,MIN(G11,K11+IF(E11="s",Reglas!$C$7,Reglas!$C$6))))</f>
        <v/>
      </c>
      <c r="M11" s="47"/>
      <c r="N11" s="46" t="str">
        <f aca="false">IF(M11="","",IF(AND(M11&gt;=G11,K11&gt;=G11),F11,MIN(G11,M11+IF(E11="s",Reglas!$C$7,Reglas!$C$6))))</f>
        <v/>
      </c>
      <c r="O11" s="47"/>
      <c r="P11" s="46" t="str">
        <f aca="false">IF(O11="","",IF(AND(O11&gt;=G11,M11&gt;=G11),F11,MIN(G11,O11+IF(E11="s",Reglas!$C$7,Reglas!$C$6))))</f>
        <v/>
      </c>
      <c r="Q11" s="47"/>
      <c r="R11" s="46" t="str">
        <f aca="false">IF(Q11="","",IF(AND(Q11&gt;=G11,O11&gt;=G11),F11,MIN(G11,Q11+IF(E11="s",Reglas!$C$7,Reglas!$C$6))))</f>
        <v/>
      </c>
      <c r="S11" s="47"/>
      <c r="T11" s="67" t="str">
        <f aca="false">IF(S11&lt;&gt;"",S11,IF(Q11&lt;&gt;"",Q11,IF(O11&lt;&gt;"",O11,IF(M11&lt;&gt;"",M11,IF(K11&lt;&gt;"",K11,IF(I11&lt;&gt;"",I11,""))))))</f>
        <v/>
      </c>
      <c r="U11" s="68" t="str">
        <f aca="false">IF(B11="hold final","al fallo",IF(T11="",F11&amp;" (piso)",IF(AND(T11&gt;=G11,IF(AND(S11&lt;&gt;"",TRUE()),Q11,IF(AND(Q11&lt;&gt;"",S11=""),O11,IF(AND(O11&lt;&gt;"",Q11=""),M11,IF(AND(M11&lt;&gt;"",O11=""),K11,IF(AND(K11&lt;&gt;"",M11=""),I11,0)))))&gt;=G11),F11&amp;" (piso, progresión nueva)",MIN(G11,T11+IF(E11="s",Reglas!$C$7,Reglas!$C$6)))))</f>
        <v>3 (piso)</v>
      </c>
      <c r="V11" s="69" t="str">
        <f aca="false">IF(B11="hold final","",IF(T11="","sin datos",IF(AND(T11&gt;=G11,IF(AND(S11&lt;&gt;"",TRUE()),Q11,IF(AND(Q11&lt;&gt;"",S11=""),O11,IF(AND(O11&lt;&gt;"",Q11=""),M11,IF(AND(M11&lt;&gt;"",O11=""),K11,IF(AND(K11&lt;&gt;"",M11=""),I11,0)))))&gt;=G11),"⬆ SUBIR de progresión",IF(T11&gt;=G11,"techo 1 de 2",IF(T11&lt;F11,"bajo el piso: revisar","en rango")))))</f>
        <v>sin datos</v>
      </c>
      <c r="W11" s="19" t="n">
        <f aca="false">IF(AND(I11&lt;&gt;"",H11&lt;&gt;""),IF(I11&gt;=H11,1,0),0)+IF(AND(K11&lt;&gt;"",J11&lt;&gt;""),IF(K11&gt;=J11,1,0),0)+IF(AND(M11&lt;&gt;"",L11&lt;&gt;""),IF(M11&gt;=L11,1,0),0)+IF(AND(O11&lt;&gt;"",N11&lt;&gt;""),IF(O11&gt;=N11,1,0),0)+IF(AND(Q11&lt;&gt;"",P11&lt;&gt;""),IF(Q11&gt;=P11,1,0),0)+IF(AND(S11&lt;&gt;"",R11&lt;&gt;""),IF(S11&gt;=R11,1,0),0)</f>
        <v>0</v>
      </c>
      <c r="X11" s="19" t="n">
        <f aca="false">IF(AND(I11&lt;&gt;"",H11&lt;&gt;""),1,0)+IF(AND(K11&lt;&gt;"",J11&lt;&gt;""),1,0)+IF(AND(M11&lt;&gt;"",L11&lt;&gt;""),1,0)+IF(AND(O11&lt;&gt;"",N11&lt;&gt;""),1,0)+IF(AND(Q11&lt;&gt;"",P11&lt;&gt;""),1,0)+IF(AND(S11&lt;&gt;"",R11&lt;&gt;""),1,0)</f>
        <v>0</v>
      </c>
      <c r="Y11" s="70" t="str">
        <f aca="false">IF(X11=0,"",W11/X11)</f>
        <v/>
      </c>
      <c r="Z11" s="71" t="str">
        <f aca="false">IF(X11=0,"",(IF(AND(I11&lt;&gt;"",H11&lt;&gt;""),I11-H11,0)+IF(AND(K11&lt;&gt;"",J11&lt;&gt;""),K11-J11,0)+IF(AND(M11&lt;&gt;"",L11&lt;&gt;""),M11-L11,0)+IF(AND(O11&lt;&gt;"",N11&lt;&gt;""),O11-N11,0)+IF(AND(Q11&lt;&gt;"",P11&lt;&gt;""),Q11-P11,0)+IF(AND(S11&lt;&gt;"",R11&lt;&gt;""),S11-R11,0))/X11)</f>
        <v/>
      </c>
    </row>
    <row r="12" customFormat="false" ht="19.5" hidden="false" customHeight="true" outlineLevel="0" collapsed="false">
      <c r="A12" s="64"/>
      <c r="B12" s="65" t="s">
        <v>89</v>
      </c>
      <c r="C12" s="44" t="s">
        <v>122</v>
      </c>
      <c r="D12" s="44" t="s">
        <v>93</v>
      </c>
      <c r="E12" s="44" t="s">
        <v>94</v>
      </c>
      <c r="F12" s="66" t="n">
        <f aca="false">IF(E12="reps",3,4)</f>
        <v>3</v>
      </c>
      <c r="G12" s="66" t="n">
        <f aca="false">IF(E12="reps",8,12)</f>
        <v>8</v>
      </c>
      <c r="H12" s="46" t="n">
        <f aca="false">F12</f>
        <v>3</v>
      </c>
      <c r="I12" s="47"/>
      <c r="J12" s="46" t="str">
        <f aca="false">IF(I12="","",IF(FALSE(),F12,MIN(G12,I12+IF(E12="s",Reglas!$C$7,Reglas!$C$6))))</f>
        <v/>
      </c>
      <c r="K12" s="47"/>
      <c r="L12" s="46" t="str">
        <f aca="false">IF(K12="","",IF(AND(K12&gt;=G12,I12&gt;=G12),F12,MIN(G12,K12+IF(E12="s",Reglas!$C$7,Reglas!$C$6))))</f>
        <v/>
      </c>
      <c r="M12" s="47"/>
      <c r="N12" s="46" t="str">
        <f aca="false">IF(M12="","",IF(AND(M12&gt;=G12,K12&gt;=G12),F12,MIN(G12,M12+IF(E12="s",Reglas!$C$7,Reglas!$C$6))))</f>
        <v/>
      </c>
      <c r="O12" s="47"/>
      <c r="P12" s="46" t="str">
        <f aca="false">IF(O12="","",IF(AND(O12&gt;=G12,M12&gt;=G12),F12,MIN(G12,O12+IF(E12="s",Reglas!$C$7,Reglas!$C$6))))</f>
        <v/>
      </c>
      <c r="Q12" s="47"/>
      <c r="R12" s="46" t="str">
        <f aca="false">IF(Q12="","",IF(AND(Q12&gt;=G12,O12&gt;=G12),F12,MIN(G12,Q12+IF(E12="s",Reglas!$C$7,Reglas!$C$6))))</f>
        <v/>
      </c>
      <c r="S12" s="47"/>
      <c r="T12" s="67" t="str">
        <f aca="false">IF(S12&lt;&gt;"",S12,IF(Q12&lt;&gt;"",Q12,IF(O12&lt;&gt;"",O12,IF(M12&lt;&gt;"",M12,IF(K12&lt;&gt;"",K12,IF(I12&lt;&gt;"",I12,""))))))</f>
        <v/>
      </c>
      <c r="U12" s="68" t="str">
        <f aca="false">IF(B12="hold final","al fallo",IF(T12="",F12&amp;" (piso)",IF(AND(T12&gt;=G12,IF(AND(S12&lt;&gt;"",TRUE()),Q12,IF(AND(Q12&lt;&gt;"",S12=""),O12,IF(AND(O12&lt;&gt;"",Q12=""),M12,IF(AND(M12&lt;&gt;"",O12=""),K12,IF(AND(K12&lt;&gt;"",M12=""),I12,0)))))&gt;=G12),F12&amp;" (piso, progresión nueva)",MIN(G12,T12+IF(E12="s",Reglas!$C$7,Reglas!$C$6)))))</f>
        <v>3 (piso)</v>
      </c>
      <c r="V12" s="69" t="str">
        <f aca="false">IF(B12="hold final","",IF(T12="","sin datos",IF(AND(T12&gt;=G12,IF(AND(S12&lt;&gt;"",TRUE()),Q12,IF(AND(Q12&lt;&gt;"",S12=""),O12,IF(AND(O12&lt;&gt;"",Q12=""),M12,IF(AND(M12&lt;&gt;"",O12=""),K12,IF(AND(K12&lt;&gt;"",M12=""),I12,0)))))&gt;=G12),"⬆ SUBIR de progresión",IF(T12&gt;=G12,"techo 1 de 2",IF(T12&lt;F12,"bajo el piso: revisar","en rango")))))</f>
        <v>sin datos</v>
      </c>
      <c r="W12" s="19" t="n">
        <f aca="false">IF(AND(I12&lt;&gt;"",H12&lt;&gt;""),IF(I12&gt;=H12,1,0),0)+IF(AND(K12&lt;&gt;"",J12&lt;&gt;""),IF(K12&gt;=J12,1,0),0)+IF(AND(M12&lt;&gt;"",L12&lt;&gt;""),IF(M12&gt;=L12,1,0),0)+IF(AND(O12&lt;&gt;"",N12&lt;&gt;""),IF(O12&gt;=N12,1,0),0)+IF(AND(Q12&lt;&gt;"",P12&lt;&gt;""),IF(Q12&gt;=P12,1,0),0)+IF(AND(S12&lt;&gt;"",R12&lt;&gt;""),IF(S12&gt;=R12,1,0),0)</f>
        <v>0</v>
      </c>
      <c r="X12" s="19" t="n">
        <f aca="false">IF(AND(I12&lt;&gt;"",H12&lt;&gt;""),1,0)+IF(AND(K12&lt;&gt;"",J12&lt;&gt;""),1,0)+IF(AND(M12&lt;&gt;"",L12&lt;&gt;""),1,0)+IF(AND(O12&lt;&gt;"",N12&lt;&gt;""),1,0)+IF(AND(Q12&lt;&gt;"",P12&lt;&gt;""),1,0)+IF(AND(S12&lt;&gt;"",R12&lt;&gt;""),1,0)</f>
        <v>0</v>
      </c>
      <c r="Y12" s="70" t="str">
        <f aca="false">IF(X12=0,"",W12/X12)</f>
        <v/>
      </c>
      <c r="Z12" s="71" t="str">
        <f aca="false">IF(X12=0,"",(IF(AND(I12&lt;&gt;"",H12&lt;&gt;""),I12-H12,0)+IF(AND(K12&lt;&gt;"",J12&lt;&gt;""),K12-J12,0)+IF(AND(M12&lt;&gt;"",L12&lt;&gt;""),M12-L12,0)+IF(AND(O12&lt;&gt;"",N12&lt;&gt;""),O12-N12,0)+IF(AND(Q12&lt;&gt;"",P12&lt;&gt;""),Q12-P12,0)+IF(AND(S12&lt;&gt;"",R12&lt;&gt;""),S12-R12,0))/X12)</f>
        <v/>
      </c>
    </row>
    <row r="13" customFormat="false" ht="19.5" hidden="false" customHeight="true" outlineLevel="0" collapsed="false">
      <c r="A13" s="64"/>
      <c r="B13" s="72" t="s">
        <v>90</v>
      </c>
      <c r="C13" s="44" t="s">
        <v>119</v>
      </c>
      <c r="D13" s="44" t="s">
        <v>85</v>
      </c>
      <c r="E13" s="44" t="s">
        <v>86</v>
      </c>
      <c r="F13" s="66" t="n">
        <f aca="false">IF(E13="reps",3,4)</f>
        <v>4</v>
      </c>
      <c r="G13" s="66" t="n">
        <f aca="false">IF(E13="reps",8,12)</f>
        <v>12</v>
      </c>
      <c r="H13" s="46" t="s">
        <v>91</v>
      </c>
      <c r="I13" s="47"/>
      <c r="J13" s="46" t="s">
        <v>91</v>
      </c>
      <c r="K13" s="47"/>
      <c r="L13" s="46" t="s">
        <v>91</v>
      </c>
      <c r="M13" s="47"/>
      <c r="N13" s="46" t="s">
        <v>91</v>
      </c>
      <c r="O13" s="47"/>
      <c r="P13" s="46" t="s">
        <v>91</v>
      </c>
      <c r="Q13" s="47"/>
      <c r="R13" s="46" t="s">
        <v>91</v>
      </c>
      <c r="S13" s="47"/>
      <c r="T13" s="67" t="str">
        <f aca="false">IF(S13&lt;&gt;"",S13,IF(Q13&lt;&gt;"",Q13,IF(O13&lt;&gt;"",O13,IF(M13&lt;&gt;"",M13,IF(K13&lt;&gt;"",K13,IF(I13&lt;&gt;"",I13,""))))))</f>
        <v/>
      </c>
      <c r="U13" s="68" t="str">
        <f aca="false">IF(B13="hold final","al fallo",IF(T13="",F13&amp;" (piso)",IF(AND(T13&gt;=G13,IF(AND(S13&lt;&gt;"",TRUE()),Q13,IF(AND(Q13&lt;&gt;"",S13=""),O13,IF(AND(O13&lt;&gt;"",Q13=""),M13,IF(AND(M13&lt;&gt;"",O13=""),K13,IF(AND(K13&lt;&gt;"",M13=""),I13,0)))))&gt;=G13),F13&amp;" (piso, progresión nueva)",MIN(G13,T13+IF(E13="s",Reglas!$C$7,Reglas!$C$6)))))</f>
        <v>al fallo</v>
      </c>
      <c r="V13" s="69" t="str">
        <f aca="false">IF(B13="hold final","",IF(T13="","sin datos",IF(AND(T13&gt;=G13,IF(AND(S13&lt;&gt;"",TRUE()),Q13,IF(AND(Q13&lt;&gt;"",S13=""),O13,IF(AND(O13&lt;&gt;"",Q13=""),M13,IF(AND(M13&lt;&gt;"",O13=""),K13,IF(AND(K13&lt;&gt;"",M13=""),I13,0)))))&gt;=G13),"⬆ SUBIR de progresión",IF(T13&gt;=G13,"techo 1 de 2",IF(T13&lt;F13,"bajo el piso: revisar","en rango")))))</f>
        <v/>
      </c>
      <c r="W13" s="73"/>
      <c r="X13" s="73"/>
      <c r="Y13" s="73"/>
      <c r="Z13" s="73"/>
    </row>
    <row r="15" customFormat="false" ht="19.5" hidden="false" customHeight="true" outlineLevel="0" collapsed="false">
      <c r="A15" s="30" t="s">
        <v>123</v>
      </c>
      <c r="B15" s="31" t="s">
        <v>83</v>
      </c>
      <c r="C15" s="32" t="s">
        <v>124</v>
      </c>
      <c r="D15" s="32" t="s">
        <v>93</v>
      </c>
      <c r="E15" s="32" t="s">
        <v>94</v>
      </c>
      <c r="F15" s="33" t="n">
        <f aca="false">IF(E15="reps",3,4)</f>
        <v>3</v>
      </c>
      <c r="G15" s="33" t="n">
        <f aca="false">IF(E15="reps",8,12)</f>
        <v>8</v>
      </c>
      <c r="H15" s="34" t="n">
        <f aca="false">F15</f>
        <v>3</v>
      </c>
      <c r="I15" s="35"/>
      <c r="J15" s="34" t="str">
        <f aca="false">IF(I15="","",IF(FALSE(),F15,MIN(G15,I15+IF(E15="s",Reglas!$C$7,Reglas!$C$6))))</f>
        <v/>
      </c>
      <c r="K15" s="35"/>
      <c r="L15" s="34" t="str">
        <f aca="false">IF(K15="","",IF(AND(K15&gt;=G15,I15&gt;=G15),F15,MIN(G15,K15+IF(E15="s",Reglas!$C$7,Reglas!$C$6))))</f>
        <v/>
      </c>
      <c r="M15" s="35"/>
      <c r="N15" s="34" t="str">
        <f aca="false">IF(M15="","",IF(AND(M15&gt;=G15,K15&gt;=G15),F15,MIN(G15,M15+IF(E15="s",Reglas!$C$7,Reglas!$C$6))))</f>
        <v/>
      </c>
      <c r="O15" s="35"/>
      <c r="P15" s="34" t="str">
        <f aca="false">IF(O15="","",IF(AND(O15&gt;=G15,M15&gt;=G15),F15,MIN(G15,O15+IF(E15="s",Reglas!$C$7,Reglas!$C$6))))</f>
        <v/>
      </c>
      <c r="Q15" s="35"/>
      <c r="R15" s="34" t="str">
        <f aca="false">IF(Q15="","",IF(AND(Q15&gt;=G15,O15&gt;=G15),F15,MIN(G15,Q15+IF(E15="s",Reglas!$C$7,Reglas!$C$6))))</f>
        <v/>
      </c>
      <c r="S15" s="35"/>
      <c r="T15" s="36" t="str">
        <f aca="false">IF(S15&lt;&gt;"",S15,IF(Q15&lt;&gt;"",Q15,IF(O15&lt;&gt;"",O15,IF(M15&lt;&gt;"",M15,IF(K15&lt;&gt;"",K15,IF(I15&lt;&gt;"",I15,""))))))</f>
        <v/>
      </c>
      <c r="U15" s="37" t="str">
        <f aca="false">IF(B15="hold final","al fallo",IF(T15="",F15&amp;" (piso)",IF(AND(T15&gt;=G15,IF(AND(S15&lt;&gt;"",TRUE()),Q15,IF(AND(Q15&lt;&gt;"",S15=""),O15,IF(AND(O15&lt;&gt;"",Q15=""),M15,IF(AND(M15&lt;&gt;"",O15=""),K15,IF(AND(K15&lt;&gt;"",M15=""),I15,0)))))&gt;=G15),F15&amp;" (piso, progresión nueva)",MIN(G15,T15+IF(E15="s",Reglas!$C$7,Reglas!$C$6)))))</f>
        <v>3 (piso)</v>
      </c>
      <c r="V15" s="38" t="str">
        <f aca="false">IF(B15="hold final","",IF(T15="","sin datos",IF(AND(T15&gt;=G15,IF(AND(S15&lt;&gt;"",TRUE()),Q15,IF(AND(Q15&lt;&gt;"",S15=""),O15,IF(AND(O15&lt;&gt;"",Q15=""),M15,IF(AND(M15&lt;&gt;"",O15=""),K15,IF(AND(K15&lt;&gt;"",M15=""),I15,0)))))&gt;=G15),"⬆ SUBIR de progresión",IF(T15&gt;=G15,"techo 1 de 2",IF(T15&lt;F15,"bajo el piso: revisar","en rango")))))</f>
        <v>sin datos</v>
      </c>
      <c r="W15" s="39" t="n">
        <f aca="false">IF(AND(I15&lt;&gt;"",H15&lt;&gt;""),IF(I15&gt;=H15,1,0),0)+IF(AND(K15&lt;&gt;"",J15&lt;&gt;""),IF(K15&gt;=J15,1,0),0)+IF(AND(M15&lt;&gt;"",L15&lt;&gt;""),IF(M15&gt;=L15,1,0),0)+IF(AND(O15&lt;&gt;"",N15&lt;&gt;""),IF(O15&gt;=N15,1,0),0)+IF(AND(Q15&lt;&gt;"",P15&lt;&gt;""),IF(Q15&gt;=P15,1,0),0)+IF(AND(S15&lt;&gt;"",R15&lt;&gt;""),IF(S15&gt;=R15,1,0),0)</f>
        <v>0</v>
      </c>
      <c r="X15" s="39" t="n">
        <f aca="false">IF(AND(I15&lt;&gt;"",H15&lt;&gt;""),1,0)+IF(AND(K15&lt;&gt;"",J15&lt;&gt;""),1,0)+IF(AND(M15&lt;&gt;"",L15&lt;&gt;""),1,0)+IF(AND(O15&lt;&gt;"",N15&lt;&gt;""),1,0)+IF(AND(Q15&lt;&gt;"",P15&lt;&gt;""),1,0)+IF(AND(S15&lt;&gt;"",R15&lt;&gt;""),1,0)</f>
        <v>0</v>
      </c>
      <c r="Y15" s="40" t="str">
        <f aca="false">IF(X15=0,"",W15/X15)</f>
        <v/>
      </c>
      <c r="Z15" s="41" t="str">
        <f aca="false">IF(X15=0,"",(IF(AND(I15&lt;&gt;"",H15&lt;&gt;""),I15-H15,0)+IF(AND(K15&lt;&gt;"",J15&lt;&gt;""),K15-J15,0)+IF(AND(M15&lt;&gt;"",L15&lt;&gt;""),M15-L15,0)+IF(AND(O15&lt;&gt;"",N15&lt;&gt;""),O15-N15,0)+IF(AND(Q15&lt;&gt;"",P15&lt;&gt;""),Q15-P15,0)+IF(AND(S15&lt;&gt;"",R15&lt;&gt;""),S15-R15,0))/X15)</f>
        <v/>
      </c>
    </row>
    <row r="16" customFormat="false" ht="19.5" hidden="false" customHeight="true" outlineLevel="0" collapsed="false">
      <c r="A16" s="42"/>
      <c r="B16" s="43" t="s">
        <v>87</v>
      </c>
      <c r="C16" s="44" t="s">
        <v>124</v>
      </c>
      <c r="D16" s="44" t="s">
        <v>95</v>
      </c>
      <c r="E16" s="44" t="s">
        <v>94</v>
      </c>
      <c r="F16" s="45" t="n">
        <f aca="false">IF(E16="reps",3,4)</f>
        <v>3</v>
      </c>
      <c r="G16" s="45" t="n">
        <f aca="false">IF(E16="reps",8,12)</f>
        <v>8</v>
      </c>
      <c r="H16" s="46" t="n">
        <f aca="false">F16</f>
        <v>3</v>
      </c>
      <c r="I16" s="47"/>
      <c r="J16" s="46" t="str">
        <f aca="false">IF(I16="","",IF(FALSE(),F16,MIN(G16,I16+IF(E16="s",Reglas!$C$7,Reglas!$C$6))))</f>
        <v/>
      </c>
      <c r="K16" s="47"/>
      <c r="L16" s="46" t="str">
        <f aca="false">IF(K16="","",IF(AND(K16&gt;=G16,I16&gt;=G16),F16,MIN(G16,K16+IF(E16="s",Reglas!$C$7,Reglas!$C$6))))</f>
        <v/>
      </c>
      <c r="M16" s="47"/>
      <c r="N16" s="46" t="str">
        <f aca="false">IF(M16="","",IF(AND(M16&gt;=G16,K16&gt;=G16),F16,MIN(G16,M16+IF(E16="s",Reglas!$C$7,Reglas!$C$6))))</f>
        <v/>
      </c>
      <c r="O16" s="47"/>
      <c r="P16" s="46" t="str">
        <f aca="false">IF(O16="","",IF(AND(O16&gt;=G16,M16&gt;=G16),F16,MIN(G16,O16+IF(E16="s",Reglas!$C$7,Reglas!$C$6))))</f>
        <v/>
      </c>
      <c r="Q16" s="47"/>
      <c r="R16" s="46" t="str">
        <f aca="false">IF(Q16="","",IF(AND(Q16&gt;=G16,O16&gt;=G16),F16,MIN(G16,Q16+IF(E16="s",Reglas!$C$7,Reglas!$C$6))))</f>
        <v/>
      </c>
      <c r="S16" s="47"/>
      <c r="T16" s="48" t="str">
        <f aca="false">IF(S16&lt;&gt;"",S16,IF(Q16&lt;&gt;"",Q16,IF(O16&lt;&gt;"",O16,IF(M16&lt;&gt;"",M16,IF(K16&lt;&gt;"",K16,IF(I16&lt;&gt;"",I16,""))))))</f>
        <v/>
      </c>
      <c r="U16" s="49" t="str">
        <f aca="false">IF(B16="hold final","al fallo",IF(T16="",F16&amp;" (piso)",IF(AND(T16&gt;=G16,IF(AND(S16&lt;&gt;"",TRUE()),Q16,IF(AND(Q16&lt;&gt;"",S16=""),O16,IF(AND(O16&lt;&gt;"",Q16=""),M16,IF(AND(M16&lt;&gt;"",O16=""),K16,IF(AND(K16&lt;&gt;"",M16=""),I16,0)))))&gt;=G16),F16&amp;" (piso, progresión nueva)",MIN(G16,T16+IF(E16="s",Reglas!$C$7,Reglas!$C$6)))))</f>
        <v>3 (piso)</v>
      </c>
      <c r="V16" s="50" t="str">
        <f aca="false">IF(B16="hold final","",IF(T16="","sin datos",IF(AND(T16&gt;=G16,IF(AND(S16&lt;&gt;"",TRUE()),Q16,IF(AND(Q16&lt;&gt;"",S16=""),O16,IF(AND(O16&lt;&gt;"",Q16=""),M16,IF(AND(M16&lt;&gt;"",O16=""),K16,IF(AND(K16&lt;&gt;"",M16=""),I16,0)))))&gt;=G16),"⬆ SUBIR de progresión",IF(T16&gt;=G16,"techo 1 de 2",IF(T16&lt;F16,"bajo el piso: revisar","en rango")))))</f>
        <v>sin datos</v>
      </c>
      <c r="W16" s="21" t="n">
        <f aca="false">IF(AND(I16&lt;&gt;"",H16&lt;&gt;""),IF(I16&gt;=H16,1,0),0)+IF(AND(K16&lt;&gt;"",J16&lt;&gt;""),IF(K16&gt;=J16,1,0),0)+IF(AND(M16&lt;&gt;"",L16&lt;&gt;""),IF(M16&gt;=L16,1,0),0)+IF(AND(O16&lt;&gt;"",N16&lt;&gt;""),IF(O16&gt;=N16,1,0),0)+IF(AND(Q16&lt;&gt;"",P16&lt;&gt;""),IF(Q16&gt;=P16,1,0),0)+IF(AND(S16&lt;&gt;"",R16&lt;&gt;""),IF(S16&gt;=R16,1,0),0)</f>
        <v>0</v>
      </c>
      <c r="X16" s="21" t="n">
        <f aca="false">IF(AND(I16&lt;&gt;"",H16&lt;&gt;""),1,0)+IF(AND(K16&lt;&gt;"",J16&lt;&gt;""),1,0)+IF(AND(M16&lt;&gt;"",L16&lt;&gt;""),1,0)+IF(AND(O16&lt;&gt;"",N16&lt;&gt;""),1,0)+IF(AND(Q16&lt;&gt;"",P16&lt;&gt;""),1,0)+IF(AND(S16&lt;&gt;"",R16&lt;&gt;""),1,0)</f>
        <v>0</v>
      </c>
      <c r="Y16" s="51" t="str">
        <f aca="false">IF(X16=0,"",W16/X16)</f>
        <v/>
      </c>
      <c r="Z16" s="52" t="str">
        <f aca="false">IF(X16=0,"",(IF(AND(I16&lt;&gt;"",H16&lt;&gt;""),I16-H16,0)+IF(AND(K16&lt;&gt;"",J16&lt;&gt;""),K16-J16,0)+IF(AND(M16&lt;&gt;"",L16&lt;&gt;""),M16-L16,0)+IF(AND(O16&lt;&gt;"",N16&lt;&gt;""),O16-N16,0)+IF(AND(Q16&lt;&gt;"",P16&lt;&gt;""),Q16-P16,0)+IF(AND(S16&lt;&gt;"",R16&lt;&gt;""),S16-R16,0))/X16)</f>
        <v/>
      </c>
    </row>
    <row r="17" customFormat="false" ht="19.5" hidden="false" customHeight="true" outlineLevel="0" collapsed="false">
      <c r="A17" s="42"/>
      <c r="B17" s="43" t="s">
        <v>89</v>
      </c>
      <c r="C17" s="44" t="s">
        <v>125</v>
      </c>
      <c r="D17" s="44" t="s">
        <v>93</v>
      </c>
      <c r="E17" s="44" t="s">
        <v>94</v>
      </c>
      <c r="F17" s="45" t="n">
        <f aca="false">IF(E17="reps",3,4)</f>
        <v>3</v>
      </c>
      <c r="G17" s="45" t="n">
        <f aca="false">IF(E17="reps",8,12)</f>
        <v>8</v>
      </c>
      <c r="H17" s="46" t="n">
        <f aca="false">F17</f>
        <v>3</v>
      </c>
      <c r="I17" s="47"/>
      <c r="J17" s="46" t="str">
        <f aca="false">IF(I17="","",IF(FALSE(),F17,MIN(G17,I17+IF(E17="s",Reglas!$C$7,Reglas!$C$6))))</f>
        <v/>
      </c>
      <c r="K17" s="47"/>
      <c r="L17" s="46" t="str">
        <f aca="false">IF(K17="","",IF(AND(K17&gt;=G17,I17&gt;=G17),F17,MIN(G17,K17+IF(E17="s",Reglas!$C$7,Reglas!$C$6))))</f>
        <v/>
      </c>
      <c r="M17" s="47"/>
      <c r="N17" s="46" t="str">
        <f aca="false">IF(M17="","",IF(AND(M17&gt;=G17,K17&gt;=G17),F17,MIN(G17,M17+IF(E17="s",Reglas!$C$7,Reglas!$C$6))))</f>
        <v/>
      </c>
      <c r="O17" s="47"/>
      <c r="P17" s="46" t="str">
        <f aca="false">IF(O17="","",IF(AND(O17&gt;=G17,M17&gt;=G17),F17,MIN(G17,O17+IF(E17="s",Reglas!$C$7,Reglas!$C$6))))</f>
        <v/>
      </c>
      <c r="Q17" s="47"/>
      <c r="R17" s="46" t="str">
        <f aca="false">IF(Q17="","",IF(AND(Q17&gt;=G17,O17&gt;=G17),F17,MIN(G17,Q17+IF(E17="s",Reglas!$C$7,Reglas!$C$6))))</f>
        <v/>
      </c>
      <c r="S17" s="47"/>
      <c r="T17" s="48" t="str">
        <f aca="false">IF(S17&lt;&gt;"",S17,IF(Q17&lt;&gt;"",Q17,IF(O17&lt;&gt;"",O17,IF(M17&lt;&gt;"",M17,IF(K17&lt;&gt;"",K17,IF(I17&lt;&gt;"",I17,""))))))</f>
        <v/>
      </c>
      <c r="U17" s="49" t="str">
        <f aca="false">IF(B17="hold final","al fallo",IF(T17="",F17&amp;" (piso)",IF(AND(T17&gt;=G17,IF(AND(S17&lt;&gt;"",TRUE()),Q17,IF(AND(Q17&lt;&gt;"",S17=""),O17,IF(AND(O17&lt;&gt;"",Q17=""),M17,IF(AND(M17&lt;&gt;"",O17=""),K17,IF(AND(K17&lt;&gt;"",M17=""),I17,0)))))&gt;=G17),F17&amp;" (piso, progresión nueva)",MIN(G17,T17+IF(E17="s",Reglas!$C$7,Reglas!$C$6)))))</f>
        <v>3 (piso)</v>
      </c>
      <c r="V17" s="50" t="str">
        <f aca="false">IF(B17="hold final","",IF(T17="","sin datos",IF(AND(T17&gt;=G17,IF(AND(S17&lt;&gt;"",TRUE()),Q17,IF(AND(Q17&lt;&gt;"",S17=""),O17,IF(AND(O17&lt;&gt;"",Q17=""),M17,IF(AND(M17&lt;&gt;"",O17=""),K17,IF(AND(K17&lt;&gt;"",M17=""),I17,0)))))&gt;=G17),"⬆ SUBIR de progresión",IF(T17&gt;=G17,"techo 1 de 2",IF(T17&lt;F17,"bajo el piso: revisar","en rango")))))</f>
        <v>sin datos</v>
      </c>
      <c r="W17" s="21" t="n">
        <f aca="false">IF(AND(I17&lt;&gt;"",H17&lt;&gt;""),IF(I17&gt;=H17,1,0),0)+IF(AND(K17&lt;&gt;"",J17&lt;&gt;""),IF(K17&gt;=J17,1,0),0)+IF(AND(M17&lt;&gt;"",L17&lt;&gt;""),IF(M17&gt;=L17,1,0),0)+IF(AND(O17&lt;&gt;"",N17&lt;&gt;""),IF(O17&gt;=N17,1,0),0)+IF(AND(Q17&lt;&gt;"",P17&lt;&gt;""),IF(Q17&gt;=P17,1,0),0)+IF(AND(S17&lt;&gt;"",R17&lt;&gt;""),IF(S17&gt;=R17,1,0),0)</f>
        <v>0</v>
      </c>
      <c r="X17" s="21" t="n">
        <f aca="false">IF(AND(I17&lt;&gt;"",H17&lt;&gt;""),1,0)+IF(AND(K17&lt;&gt;"",J17&lt;&gt;""),1,0)+IF(AND(M17&lt;&gt;"",L17&lt;&gt;""),1,0)+IF(AND(O17&lt;&gt;"",N17&lt;&gt;""),1,0)+IF(AND(Q17&lt;&gt;"",P17&lt;&gt;""),1,0)+IF(AND(S17&lt;&gt;"",R17&lt;&gt;""),1,0)</f>
        <v>0</v>
      </c>
      <c r="Y17" s="51" t="str">
        <f aca="false">IF(X17=0,"",W17/X17)</f>
        <v/>
      </c>
      <c r="Z17" s="52" t="str">
        <f aca="false">IF(X17=0,"",(IF(AND(I17&lt;&gt;"",H17&lt;&gt;""),I17-H17,0)+IF(AND(K17&lt;&gt;"",J17&lt;&gt;""),K17-J17,0)+IF(AND(M17&lt;&gt;"",L17&lt;&gt;""),M17-L17,0)+IF(AND(O17&lt;&gt;"",N17&lt;&gt;""),O17-N17,0)+IF(AND(Q17&lt;&gt;"",P17&lt;&gt;""),Q17-P17,0)+IF(AND(S17&lt;&gt;"",R17&lt;&gt;""),S17-R17,0))/X17)</f>
        <v/>
      </c>
    </row>
    <row r="18" customFormat="false" ht="19.5" hidden="false" customHeight="true" outlineLevel="0" collapsed="false">
      <c r="A18" s="42"/>
      <c r="B18" s="53" t="s">
        <v>90</v>
      </c>
      <c r="C18" s="44" t="s">
        <v>126</v>
      </c>
      <c r="D18" s="44" t="s">
        <v>85</v>
      </c>
      <c r="E18" s="44" t="s">
        <v>86</v>
      </c>
      <c r="F18" s="45" t="n">
        <f aca="false">IF(E18="reps",3,4)</f>
        <v>4</v>
      </c>
      <c r="G18" s="45" t="n">
        <f aca="false">IF(E18="reps",8,12)</f>
        <v>12</v>
      </c>
      <c r="H18" s="46" t="s">
        <v>91</v>
      </c>
      <c r="I18" s="47"/>
      <c r="J18" s="46" t="s">
        <v>91</v>
      </c>
      <c r="K18" s="47"/>
      <c r="L18" s="46" t="s">
        <v>91</v>
      </c>
      <c r="M18" s="47"/>
      <c r="N18" s="46" t="s">
        <v>91</v>
      </c>
      <c r="O18" s="47"/>
      <c r="P18" s="46" t="s">
        <v>91</v>
      </c>
      <c r="Q18" s="47"/>
      <c r="R18" s="46" t="s">
        <v>91</v>
      </c>
      <c r="S18" s="47"/>
      <c r="T18" s="48" t="str">
        <f aca="false">IF(S18&lt;&gt;"",S18,IF(Q18&lt;&gt;"",Q18,IF(O18&lt;&gt;"",O18,IF(M18&lt;&gt;"",M18,IF(K18&lt;&gt;"",K18,IF(I18&lt;&gt;"",I18,""))))))</f>
        <v/>
      </c>
      <c r="U18" s="49" t="str">
        <f aca="false">IF(B18="hold final","al fallo",IF(T18="",F18&amp;" (piso)",IF(AND(T18&gt;=G18,IF(AND(S18&lt;&gt;"",TRUE()),Q18,IF(AND(Q18&lt;&gt;"",S18=""),O18,IF(AND(O18&lt;&gt;"",Q18=""),M18,IF(AND(M18&lt;&gt;"",O18=""),K18,IF(AND(K18&lt;&gt;"",M18=""),I18,0)))))&gt;=G18),F18&amp;" (piso, progresión nueva)",MIN(G18,T18+IF(E18="s",Reglas!$C$7,Reglas!$C$6)))))</f>
        <v>al fallo</v>
      </c>
      <c r="V18" s="50" t="str">
        <f aca="false">IF(B18="hold final","",IF(T18="","sin datos",IF(AND(T18&gt;=G18,IF(AND(S18&lt;&gt;"",TRUE()),Q18,IF(AND(Q18&lt;&gt;"",S18=""),O18,IF(AND(O18&lt;&gt;"",Q18=""),M18,IF(AND(M18&lt;&gt;"",O18=""),K18,IF(AND(K18&lt;&gt;"",M18=""),I18,0)))))&gt;=G18),"⬆ SUBIR de progresión",IF(T18&gt;=G18,"techo 1 de 2",IF(T18&lt;F18,"bajo el piso: revisar","en rango")))))</f>
        <v/>
      </c>
      <c r="W18" s="54"/>
      <c r="X18" s="54"/>
      <c r="Y18" s="54"/>
      <c r="Z18" s="54"/>
    </row>
  </sheetData>
  <conditionalFormatting sqref="V5:V20">
    <cfRule type="expression" priority="2" aboveAverage="0" equalAverage="0" bottom="0" percent="0" rank="0" text="" dxfId="0">
      <formula>LEFT(V5,1)="⬆"</formula>
    </cfRule>
    <cfRule type="expression" priority="3" aboveAverage="0" equalAverage="0" bottom="0" percent="0" rank="0" text="" dxfId="1">
      <formula>V5="techo 1 de 2"</formula>
    </cfRule>
    <cfRule type="expression" priority="4" aboveAverage="0" equalAverage="0" bottom="0" percent="0" rank="0" text="" dxfId="2">
      <formula>LEFT(V5,4)="bajo"</formula>
    </cfRule>
  </conditionalFormatting>
  <dataValidations count="5">
    <dataValidation allowBlank="true" errorStyle="stop" operator="between" showDropDown="false" showErrorMessage="false" showInputMessage="false" sqref="D5:D8 D10:D13 D15:D18" type="list">
      <formula1>"completa,negativa,hold"</formula1>
      <formula2>0</formula2>
    </dataValidation>
    <dataValidation allowBlank="true" errorStyle="stop" operator="between" showDropDown="false" showErrorMessage="false" showInputMessage="false" sqref="E5:E8 E10:E13 E15:E18" type="list">
      <formula1>"reps,s"</formula1>
      <formula2>0</formula2>
    </dataValidation>
    <dataValidation allowBlank="true" errorStyle="stop" operator="between" showDropDown="false" showErrorMessage="false" showInputMessage="false" sqref="C5:C8" type="list">
      <formula1>"one arm,OAP asistida,archer,estricta lenta,dominada,al pecho"</formula1>
      <formula2>0</formula2>
    </dataValidation>
    <dataValidation allowBlank="true" errorStyle="stop" operator="between" showDropDown="false" showErrorMessage="false" showInputMessage="false" sqref="C10:C13" type="list">
      <formula1>"estricto,con impulso,al pecho,dominada"</formula1>
      <formula2>0</formula2>
    </dataValidation>
    <dataValidation allowBlank="true" errorStyle="stop" operator="between" showDropDown="false" showErrorMessage="false" showInputMessage="false" sqref="C15:C18" type="list">
      <formula1>"pelícano,supinado profundo,anillas profundo,anillas,paralelas profundo"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FAE6B"/>
    <pageSetUpPr fitToPage="false"/>
  </sheetPr>
  <dimension ref="A1:R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4" min="2" style="0" width="20"/>
    <col collapsed="false" customWidth="true" hidden="false" outlineLevel="0" max="5" min="5" style="0" width="13"/>
    <col collapsed="false" customWidth="true" hidden="false" outlineLevel="0" max="6" min="6" style="0" width="9"/>
    <col collapsed="false" customWidth="true" hidden="false" outlineLevel="0" max="7" min="7" style="0" width="13"/>
    <col collapsed="false" customWidth="true" hidden="false" outlineLevel="0" max="8" min="8" style="0" width="9"/>
    <col collapsed="false" customWidth="true" hidden="false" outlineLevel="0" max="9" min="9" style="0" width="13"/>
    <col collapsed="false" customWidth="true" hidden="false" outlineLevel="0" max="10" min="10" style="0" width="9"/>
    <col collapsed="false" customWidth="true" hidden="false" outlineLevel="0" max="11" min="11" style="0" width="13"/>
    <col collapsed="false" customWidth="true" hidden="false" outlineLevel="0" max="12" min="12" style="0" width="9"/>
    <col collapsed="false" customWidth="true" hidden="false" outlineLevel="0" max="13" min="13" style="0" width="13"/>
    <col collapsed="false" customWidth="true" hidden="false" outlineLevel="0" max="14" min="14" style="0" width="9"/>
    <col collapsed="false" customWidth="true" hidden="false" outlineLevel="0" max="15" min="15" style="0" width="13"/>
    <col collapsed="false" customWidth="true" hidden="false" outlineLevel="0" max="16" min="16" style="0" width="9"/>
    <col collapsed="false" customWidth="true" hidden="false" outlineLevel="0" max="17" min="17" style="0" width="10"/>
    <col collapsed="false" customWidth="true" hidden="false" outlineLevel="0" max="18" min="18" style="0" width="18"/>
  </cols>
  <sheetData>
    <row r="1" customFormat="false" ht="22.05" hidden="false" customHeight="false" outlineLevel="0" collapsed="false">
      <c r="A1" s="74" t="s">
        <v>0</v>
      </c>
      <c r="B1" s="75"/>
      <c r="C1" s="75"/>
      <c r="D1" s="75"/>
      <c r="E1" s="75"/>
      <c r="F1" s="75"/>
      <c r="G1" s="75"/>
      <c r="H1" s="75"/>
      <c r="I1" s="75"/>
      <c r="J1" s="75"/>
      <c r="K1" s="75"/>
      <c r="L1" s="75"/>
      <c r="M1" s="75"/>
      <c r="N1" s="75"/>
      <c r="O1" s="75"/>
      <c r="P1" s="75"/>
      <c r="Q1" s="75"/>
      <c r="R1" s="75"/>
    </row>
    <row r="2" customFormat="false" ht="15" hidden="false" customHeight="false" outlineLevel="0" collapsed="false">
      <c r="A2" s="76" t="s">
        <v>127</v>
      </c>
      <c r="B2" s="75"/>
      <c r="C2" s="75"/>
      <c r="D2" s="75"/>
      <c r="E2" s="75"/>
      <c r="F2" s="75"/>
      <c r="G2" s="75"/>
      <c r="H2" s="75"/>
      <c r="I2" s="75"/>
      <c r="J2" s="75"/>
      <c r="K2" s="75"/>
      <c r="L2" s="75"/>
      <c r="M2" s="75"/>
      <c r="N2" s="75"/>
      <c r="O2" s="75"/>
      <c r="P2" s="75"/>
      <c r="Q2" s="75"/>
      <c r="R2" s="75"/>
    </row>
    <row r="3" customFormat="false" ht="15" hidden="false" customHeight="false" outlineLevel="0" collapsed="false">
      <c r="A3" s="77" t="s">
        <v>128</v>
      </c>
      <c r="B3" s="75"/>
      <c r="C3" s="75"/>
      <c r="D3" s="75"/>
      <c r="E3" s="75"/>
      <c r="F3" s="75"/>
      <c r="G3" s="75"/>
      <c r="H3" s="75"/>
      <c r="I3" s="75"/>
      <c r="J3" s="75"/>
      <c r="K3" s="75"/>
      <c r="L3" s="75"/>
      <c r="M3" s="75"/>
      <c r="N3" s="75"/>
      <c r="O3" s="75"/>
      <c r="P3" s="75"/>
      <c r="Q3" s="75"/>
      <c r="R3" s="75"/>
    </row>
    <row r="4" customFormat="false" ht="30" hidden="false" customHeight="true" outlineLevel="0" collapsed="false">
      <c r="A4" s="29"/>
      <c r="B4" s="29" t="s">
        <v>129</v>
      </c>
      <c r="C4" s="29" t="s">
        <v>130</v>
      </c>
      <c r="D4" s="29" t="s">
        <v>131</v>
      </c>
      <c r="E4" s="29" t="s">
        <v>132</v>
      </c>
      <c r="F4" s="29" t="s">
        <v>65</v>
      </c>
      <c r="G4" s="29" t="s">
        <v>133</v>
      </c>
      <c r="H4" s="29" t="s">
        <v>67</v>
      </c>
      <c r="I4" s="29" t="s">
        <v>134</v>
      </c>
      <c r="J4" s="29" t="s">
        <v>69</v>
      </c>
      <c r="K4" s="29" t="s">
        <v>135</v>
      </c>
      <c r="L4" s="29" t="s">
        <v>71</v>
      </c>
      <c r="M4" s="29" t="s">
        <v>136</v>
      </c>
      <c r="N4" s="29" t="s">
        <v>73</v>
      </c>
      <c r="O4" s="29" t="s">
        <v>137</v>
      </c>
      <c r="P4" s="29" t="s">
        <v>75</v>
      </c>
      <c r="Q4" s="29" t="s">
        <v>76</v>
      </c>
      <c r="R4" s="29" t="s">
        <v>51</v>
      </c>
    </row>
    <row r="5" customFormat="false" ht="15" hidden="false" customHeight="false" outlineLevel="0" collapsed="false">
      <c r="A5" s="78" t="s">
        <v>138</v>
      </c>
      <c r="B5" s="79" t="s">
        <v>139</v>
      </c>
      <c r="C5" s="79" t="s">
        <v>140</v>
      </c>
      <c r="D5" s="79" t="s">
        <v>141</v>
      </c>
      <c r="E5" s="77" t="s">
        <v>142</v>
      </c>
      <c r="F5" s="75"/>
      <c r="G5" s="75"/>
      <c r="H5" s="75"/>
      <c r="I5" s="75"/>
      <c r="J5" s="75"/>
      <c r="K5" s="75"/>
      <c r="L5" s="75"/>
      <c r="M5" s="75"/>
      <c r="N5" s="75"/>
      <c r="O5" s="75"/>
      <c r="P5" s="75"/>
      <c r="Q5" s="75"/>
      <c r="R5" s="75"/>
    </row>
    <row r="6" customFormat="false" ht="15" hidden="false" customHeight="false" outlineLevel="0" collapsed="false">
      <c r="A6" s="80" t="s">
        <v>143</v>
      </c>
      <c r="B6" s="81"/>
      <c r="C6" s="81"/>
      <c r="D6" s="81"/>
      <c r="E6" s="82" t="s">
        <v>88</v>
      </c>
      <c r="F6" s="83"/>
      <c r="G6" s="82" t="str">
        <f aca="false">IF(F6="","",F6)</f>
        <v/>
      </c>
      <c r="H6" s="83"/>
      <c r="I6" s="82" t="str">
        <f aca="false">IF(H6="","",H6)</f>
        <v/>
      </c>
      <c r="J6" s="83"/>
      <c r="K6" s="82" t="str">
        <f aca="false">IF(J6="","",J6)</f>
        <v/>
      </c>
      <c r="L6" s="83"/>
      <c r="M6" s="82" t="str">
        <f aca="false">IF(L6="","",L6)</f>
        <v/>
      </c>
      <c r="N6" s="83"/>
      <c r="O6" s="82" t="str">
        <f aca="false">IF(N6="","",N6)</f>
        <v/>
      </c>
      <c r="P6" s="83"/>
      <c r="Q6" s="84" t="str">
        <f aca="false">IF(P6&lt;&gt;"",P6,IF(N6&lt;&gt;"",N6,IF(L6&lt;&gt;"",L6,IF(J6&lt;&gt;"",J6,IF(H6&lt;&gt;"",H6,IF(F6&lt;&gt;"",F6,""))))))</f>
        <v/>
      </c>
      <c r="R6" s="81"/>
    </row>
    <row r="7" customFormat="false" ht="15" hidden="false" customHeight="false" outlineLevel="0" collapsed="false">
      <c r="A7" s="80" t="s">
        <v>144</v>
      </c>
      <c r="B7" s="81"/>
      <c r="C7" s="81"/>
      <c r="D7" s="81"/>
      <c r="E7" s="46" t="n">
        <v>3</v>
      </c>
      <c r="F7" s="85"/>
      <c r="G7" s="46" t="n">
        <v>3</v>
      </c>
      <c r="H7" s="85"/>
      <c r="I7" s="46" t="n">
        <v>4</v>
      </c>
      <c r="J7" s="85"/>
      <c r="K7" s="46" t="n">
        <v>4</v>
      </c>
      <c r="L7" s="85"/>
      <c r="M7" s="46" t="n">
        <v>4</v>
      </c>
      <c r="N7" s="85"/>
      <c r="O7" s="46" t="n">
        <v>4</v>
      </c>
      <c r="P7" s="85"/>
      <c r="Q7" s="86" t="str">
        <f aca="false">IF(P7&lt;&gt;"",P7,IF(N7&lt;&gt;"",N7,IF(L7&lt;&gt;"",L7,IF(J7&lt;&gt;"",J7,IF(H7&lt;&gt;"",H7,IF(F7&lt;&gt;"",F7,""))))))</f>
        <v/>
      </c>
      <c r="R7" s="87" t="str">
        <f aca="false">IF(Q7="","sin datos",IF(Q7&gt;=IF(P7&lt;&gt;"",O7,IF(N7&lt;&gt;"",M7,IF(L7&lt;&gt;"",K7,IF(J7&lt;&gt;"",I7,IF(H7&lt;&gt;"",G7,IF(F7&lt;&gt;"",E7,"")))))),"✓ completo","faltaron "&amp;(IF(P7&lt;&gt;"",O7,IF(N7&lt;&gt;"",M7,IF(L7&lt;&gt;"",K7,IF(J7&lt;&gt;"",I7,IF(H7&lt;&gt;"",G7,IF(F7&lt;&gt;"",E7,""))))))-Q7)))</f>
        <v>sin datos</v>
      </c>
    </row>
    <row r="9" customFormat="false" ht="15" hidden="false" customHeight="false" outlineLevel="0" collapsed="false">
      <c r="A9" s="78" t="s">
        <v>145</v>
      </c>
      <c r="B9" s="79" t="s">
        <v>146</v>
      </c>
      <c r="C9" s="79" t="s">
        <v>147</v>
      </c>
      <c r="D9" s="79" t="s">
        <v>148</v>
      </c>
      <c r="E9" s="77" t="s">
        <v>142</v>
      </c>
      <c r="F9" s="75"/>
      <c r="G9" s="75"/>
      <c r="H9" s="75"/>
      <c r="I9" s="75"/>
      <c r="J9" s="75"/>
      <c r="K9" s="75"/>
      <c r="L9" s="75"/>
      <c r="M9" s="75"/>
      <c r="N9" s="75"/>
      <c r="O9" s="75"/>
      <c r="P9" s="75"/>
      <c r="Q9" s="75"/>
      <c r="R9" s="75"/>
    </row>
    <row r="10" customFormat="false" ht="15" hidden="false" customHeight="false" outlineLevel="0" collapsed="false">
      <c r="A10" s="88" t="s">
        <v>143</v>
      </c>
      <c r="B10" s="89"/>
      <c r="C10" s="89"/>
      <c r="D10" s="89"/>
      <c r="E10" s="82" t="s">
        <v>88</v>
      </c>
      <c r="F10" s="83"/>
      <c r="G10" s="82" t="str">
        <f aca="false">IF(F10="","",F10)</f>
        <v/>
      </c>
      <c r="H10" s="83"/>
      <c r="I10" s="82" t="str">
        <f aca="false">IF(H10="","",H10)</f>
        <v/>
      </c>
      <c r="J10" s="83"/>
      <c r="K10" s="82" t="str">
        <f aca="false">IF(J10="","",J10)</f>
        <v/>
      </c>
      <c r="L10" s="83"/>
      <c r="M10" s="82" t="str">
        <f aca="false">IF(L10="","",L10)</f>
        <v/>
      </c>
      <c r="N10" s="83"/>
      <c r="O10" s="82" t="str">
        <f aca="false">IF(N10="","",N10)</f>
        <v/>
      </c>
      <c r="P10" s="83"/>
      <c r="Q10" s="90" t="str">
        <f aca="false">IF(P10&lt;&gt;"",P10,IF(N10&lt;&gt;"",N10,IF(L10&lt;&gt;"",L10,IF(J10&lt;&gt;"",J10,IF(H10&lt;&gt;"",H10,IF(F10&lt;&gt;"",F10,""))))))</f>
        <v/>
      </c>
      <c r="R10" s="89"/>
    </row>
    <row r="11" customFormat="false" ht="15" hidden="false" customHeight="false" outlineLevel="0" collapsed="false">
      <c r="A11" s="88" t="s">
        <v>144</v>
      </c>
      <c r="B11" s="89"/>
      <c r="C11" s="89"/>
      <c r="D11" s="89"/>
      <c r="E11" s="46" t="n">
        <v>3</v>
      </c>
      <c r="F11" s="85"/>
      <c r="G11" s="46" t="n">
        <v>3</v>
      </c>
      <c r="H11" s="85"/>
      <c r="I11" s="46" t="n">
        <v>4</v>
      </c>
      <c r="J11" s="85"/>
      <c r="K11" s="46" t="n">
        <v>4</v>
      </c>
      <c r="L11" s="85"/>
      <c r="M11" s="46" t="n">
        <v>4</v>
      </c>
      <c r="N11" s="85"/>
      <c r="O11" s="46" t="n">
        <v>4</v>
      </c>
      <c r="P11" s="85"/>
      <c r="Q11" s="91" t="str">
        <f aca="false">IF(P11&lt;&gt;"",P11,IF(N11&lt;&gt;"",N11,IF(L11&lt;&gt;"",L11,IF(J11&lt;&gt;"",J11,IF(H11&lt;&gt;"",H11,IF(F11&lt;&gt;"",F11,""))))))</f>
        <v/>
      </c>
      <c r="R11" s="92" t="str">
        <f aca="false">IF(Q11="","sin datos",IF(Q11&gt;=IF(P11&lt;&gt;"",O11,IF(N11&lt;&gt;"",M11,IF(L11&lt;&gt;"",K11,IF(J11&lt;&gt;"",I11,IF(H11&lt;&gt;"",G11,IF(F11&lt;&gt;"",E11,"")))))),"✓ completo","faltaron "&amp;(IF(P11&lt;&gt;"",O11,IF(N11&lt;&gt;"",M11,IF(L11&lt;&gt;"",K11,IF(J11&lt;&gt;"",I11,IF(H11&lt;&gt;"",G11,IF(F11&lt;&gt;"",E11,""))))))-Q11)))</f>
        <v>sin datos</v>
      </c>
    </row>
    <row r="13" customFormat="false" ht="15" hidden="false" customHeight="false" outlineLevel="0" collapsed="false">
      <c r="A13" s="78" t="s">
        <v>149</v>
      </c>
      <c r="B13" s="79" t="s">
        <v>110</v>
      </c>
      <c r="C13" s="79" t="s">
        <v>106</v>
      </c>
      <c r="D13" s="79" t="s">
        <v>141</v>
      </c>
      <c r="E13" s="77" t="s">
        <v>142</v>
      </c>
      <c r="F13" s="75"/>
      <c r="G13" s="75"/>
      <c r="H13" s="75"/>
      <c r="I13" s="75"/>
      <c r="J13" s="75"/>
      <c r="K13" s="75"/>
      <c r="L13" s="75"/>
      <c r="M13" s="75"/>
      <c r="N13" s="75"/>
      <c r="O13" s="75"/>
      <c r="P13" s="75"/>
      <c r="Q13" s="75"/>
      <c r="R13" s="75"/>
    </row>
    <row r="14" customFormat="false" ht="15" hidden="false" customHeight="false" outlineLevel="0" collapsed="false">
      <c r="A14" s="80" t="s">
        <v>143</v>
      </c>
      <c r="B14" s="81"/>
      <c r="C14" s="81"/>
      <c r="D14" s="81"/>
      <c r="E14" s="82" t="s">
        <v>88</v>
      </c>
      <c r="F14" s="83"/>
      <c r="G14" s="82" t="str">
        <f aca="false">IF(F14="","",F14)</f>
        <v/>
      </c>
      <c r="H14" s="83"/>
      <c r="I14" s="82" t="str">
        <f aca="false">IF(H14="","",H14)</f>
        <v/>
      </c>
      <c r="J14" s="83"/>
      <c r="K14" s="82" t="str">
        <f aca="false">IF(J14="","",J14)</f>
        <v/>
      </c>
      <c r="L14" s="83"/>
      <c r="M14" s="82" t="str">
        <f aca="false">IF(L14="","",L14)</f>
        <v/>
      </c>
      <c r="N14" s="83"/>
      <c r="O14" s="82" t="str">
        <f aca="false">IF(N14="","",N14)</f>
        <v/>
      </c>
      <c r="P14" s="83"/>
      <c r="Q14" s="84" t="str">
        <f aca="false">IF(P14&lt;&gt;"",P14,IF(N14&lt;&gt;"",N14,IF(L14&lt;&gt;"",L14,IF(J14&lt;&gt;"",J14,IF(H14&lt;&gt;"",H14,IF(F14&lt;&gt;"",F14,""))))))</f>
        <v/>
      </c>
      <c r="R14" s="81"/>
    </row>
    <row r="15" customFormat="false" ht="15" hidden="false" customHeight="false" outlineLevel="0" collapsed="false">
      <c r="A15" s="80" t="s">
        <v>144</v>
      </c>
      <c r="B15" s="81"/>
      <c r="C15" s="81"/>
      <c r="D15" s="81"/>
      <c r="E15" s="46" t="n">
        <v>3</v>
      </c>
      <c r="F15" s="85"/>
      <c r="G15" s="46" t="n">
        <v>3</v>
      </c>
      <c r="H15" s="85"/>
      <c r="I15" s="46" t="n">
        <v>4</v>
      </c>
      <c r="J15" s="85"/>
      <c r="K15" s="46" t="n">
        <v>4</v>
      </c>
      <c r="L15" s="85"/>
      <c r="M15" s="46" t="n">
        <v>4</v>
      </c>
      <c r="N15" s="85"/>
      <c r="O15" s="46" t="n">
        <v>4</v>
      </c>
      <c r="P15" s="85"/>
      <c r="Q15" s="86" t="str">
        <f aca="false">IF(P15&lt;&gt;"",P15,IF(N15&lt;&gt;"",N15,IF(L15&lt;&gt;"",L15,IF(J15&lt;&gt;"",J15,IF(H15&lt;&gt;"",H15,IF(F15&lt;&gt;"",F15,""))))))</f>
        <v/>
      </c>
      <c r="R15" s="87" t="str">
        <f aca="false">IF(Q15="","sin datos",IF(Q15&gt;=IF(P15&lt;&gt;"",O15,IF(N15&lt;&gt;"",M15,IF(L15&lt;&gt;"",K15,IF(J15&lt;&gt;"",I15,IF(H15&lt;&gt;"",G15,IF(F15&lt;&gt;"",E15,"")))))),"✓ completo","faltaron "&amp;(IF(P15&lt;&gt;"",O15,IF(N15&lt;&gt;"",M15,IF(L15&lt;&gt;"",K15,IF(J15&lt;&gt;"",I15,IF(H15&lt;&gt;"",G15,IF(F15&lt;&gt;"",E15,""))))))-Q15)))</f>
        <v>sin datos</v>
      </c>
    </row>
    <row r="17" customFormat="false" ht="15" hidden="false" customHeight="false" outlineLevel="0" collapsed="false">
      <c r="A17" s="78" t="s">
        <v>150</v>
      </c>
      <c r="B17" s="79" t="s">
        <v>146</v>
      </c>
      <c r="C17" s="79" t="s">
        <v>120</v>
      </c>
      <c r="D17" s="79" t="s">
        <v>148</v>
      </c>
      <c r="E17" s="77" t="s">
        <v>142</v>
      </c>
      <c r="F17" s="75"/>
      <c r="G17" s="75"/>
      <c r="H17" s="75"/>
      <c r="I17" s="75"/>
      <c r="J17" s="75"/>
      <c r="K17" s="75"/>
      <c r="L17" s="75"/>
      <c r="M17" s="75"/>
      <c r="N17" s="75"/>
      <c r="O17" s="75"/>
      <c r="P17" s="75"/>
      <c r="Q17" s="75"/>
      <c r="R17" s="75"/>
    </row>
    <row r="18" customFormat="false" ht="15" hidden="false" customHeight="false" outlineLevel="0" collapsed="false">
      <c r="A18" s="88" t="s">
        <v>143</v>
      </c>
      <c r="B18" s="89"/>
      <c r="C18" s="89"/>
      <c r="D18" s="89"/>
      <c r="E18" s="82" t="s">
        <v>88</v>
      </c>
      <c r="F18" s="83"/>
      <c r="G18" s="82" t="str">
        <f aca="false">IF(F18="","",F18)</f>
        <v/>
      </c>
      <c r="H18" s="83"/>
      <c r="I18" s="82" t="str">
        <f aca="false">IF(H18="","",H18)</f>
        <v/>
      </c>
      <c r="J18" s="83"/>
      <c r="K18" s="82" t="str">
        <f aca="false">IF(J18="","",J18)</f>
        <v/>
      </c>
      <c r="L18" s="83"/>
      <c r="M18" s="82" t="str">
        <f aca="false">IF(L18="","",L18)</f>
        <v/>
      </c>
      <c r="N18" s="83"/>
      <c r="O18" s="82" t="str">
        <f aca="false">IF(N18="","",N18)</f>
        <v/>
      </c>
      <c r="P18" s="83"/>
      <c r="Q18" s="90" t="str">
        <f aca="false">IF(P18&lt;&gt;"",P18,IF(N18&lt;&gt;"",N18,IF(L18&lt;&gt;"",L18,IF(J18&lt;&gt;"",J18,IF(H18&lt;&gt;"",H18,IF(F18&lt;&gt;"",F18,""))))))</f>
        <v/>
      </c>
      <c r="R18" s="89"/>
    </row>
    <row r="19" customFormat="false" ht="15" hidden="false" customHeight="false" outlineLevel="0" collapsed="false">
      <c r="A19" s="88" t="s">
        <v>144</v>
      </c>
      <c r="B19" s="89"/>
      <c r="C19" s="89"/>
      <c r="D19" s="89"/>
      <c r="E19" s="46" t="n">
        <v>3</v>
      </c>
      <c r="F19" s="85"/>
      <c r="G19" s="46" t="n">
        <v>3</v>
      </c>
      <c r="H19" s="85"/>
      <c r="I19" s="46" t="n">
        <v>4</v>
      </c>
      <c r="J19" s="85"/>
      <c r="K19" s="46" t="n">
        <v>4</v>
      </c>
      <c r="L19" s="85"/>
      <c r="M19" s="46" t="n">
        <v>4</v>
      </c>
      <c r="N19" s="85"/>
      <c r="O19" s="46" t="n">
        <v>4</v>
      </c>
      <c r="P19" s="85"/>
      <c r="Q19" s="91" t="str">
        <f aca="false">IF(P19&lt;&gt;"",P19,IF(N19&lt;&gt;"",N19,IF(L19&lt;&gt;"",L19,IF(J19&lt;&gt;"",J19,IF(H19&lt;&gt;"",H19,IF(F19&lt;&gt;"",F19,""))))))</f>
        <v/>
      </c>
      <c r="R19" s="92" t="str">
        <f aca="false">IF(Q19="","sin datos",IF(Q19&gt;=IF(P19&lt;&gt;"",O19,IF(N19&lt;&gt;"",M19,IF(L19&lt;&gt;"",K19,IF(J19&lt;&gt;"",I19,IF(H19&lt;&gt;"",G19,IF(F19&lt;&gt;"",E19,"")))))),"✓ completo","faltaron "&amp;(IF(P19&lt;&gt;"",O19,IF(N19&lt;&gt;"",M19,IF(L19&lt;&gt;"",K19,IF(J19&lt;&gt;"",I19,IF(H19&lt;&gt;"",G19,IF(F19&lt;&gt;"",E19,""))))))-Q19)))</f>
        <v>sin datos</v>
      </c>
    </row>
    <row r="21" customFormat="false" ht="15" hidden="false" customHeight="false" outlineLevel="0" collapsed="false">
      <c r="A21" s="78" t="s">
        <v>151</v>
      </c>
      <c r="B21" s="79" t="s">
        <v>139</v>
      </c>
      <c r="C21" s="79" t="s">
        <v>106</v>
      </c>
      <c r="D21" s="79" t="s">
        <v>141</v>
      </c>
      <c r="E21" s="77" t="s">
        <v>152</v>
      </c>
      <c r="F21" s="75"/>
      <c r="G21" s="75"/>
      <c r="H21" s="75"/>
      <c r="I21" s="75"/>
      <c r="J21" s="75"/>
      <c r="K21" s="75"/>
      <c r="L21" s="75"/>
      <c r="M21" s="75"/>
      <c r="N21" s="75"/>
      <c r="O21" s="75"/>
      <c r="P21" s="75"/>
      <c r="Q21" s="75"/>
      <c r="R21" s="75"/>
    </row>
    <row r="22" customFormat="false" ht="15" hidden="false" customHeight="false" outlineLevel="0" collapsed="false">
      <c r="A22" s="80" t="s">
        <v>143</v>
      </c>
      <c r="B22" s="81"/>
      <c r="C22" s="81"/>
      <c r="D22" s="81"/>
      <c r="E22" s="82" t="s">
        <v>88</v>
      </c>
      <c r="F22" s="83"/>
      <c r="G22" s="82" t="str">
        <f aca="false">IF(F22="","",F22)</f>
        <v/>
      </c>
      <c r="H22" s="83"/>
      <c r="I22" s="82" t="str">
        <f aca="false">IF(H22="","",H22)</f>
        <v/>
      </c>
      <c r="J22" s="83"/>
      <c r="K22" s="82" t="str">
        <f aca="false">IF(J22="","",J22)</f>
        <v/>
      </c>
      <c r="L22" s="83"/>
      <c r="M22" s="82" t="str">
        <f aca="false">IF(L22="","",L22)</f>
        <v/>
      </c>
      <c r="N22" s="83"/>
      <c r="O22" s="82" t="str">
        <f aca="false">IF(N22="","",N22)</f>
        <v/>
      </c>
      <c r="P22" s="83"/>
      <c r="Q22" s="84" t="str">
        <f aca="false">IF(P22&lt;&gt;"",P22,IF(N22&lt;&gt;"",N22,IF(L22&lt;&gt;"",L22,IF(J22&lt;&gt;"",J22,IF(H22&lt;&gt;"",H22,IF(F22&lt;&gt;"",F22,""))))))</f>
        <v/>
      </c>
      <c r="R22" s="81"/>
    </row>
    <row r="23" customFormat="false" ht="15" hidden="false" customHeight="false" outlineLevel="0" collapsed="false">
      <c r="A23" s="80" t="s">
        <v>144</v>
      </c>
      <c r="B23" s="81"/>
      <c r="C23" s="81"/>
      <c r="D23" s="81"/>
      <c r="E23" s="46" t="n">
        <v>13</v>
      </c>
      <c r="F23" s="85"/>
      <c r="G23" s="46" t="n">
        <v>13</v>
      </c>
      <c r="H23" s="85"/>
      <c r="I23" s="46" t="n">
        <v>13</v>
      </c>
      <c r="J23" s="85"/>
      <c r="K23" s="46" t="n">
        <v>13</v>
      </c>
      <c r="L23" s="85"/>
      <c r="M23" s="46" t="n">
        <v>13</v>
      </c>
      <c r="N23" s="85"/>
      <c r="O23" s="46" t="n">
        <v>13</v>
      </c>
      <c r="P23" s="85"/>
      <c r="Q23" s="86" t="str">
        <f aca="false">IF(P23&lt;&gt;"",P23,IF(N23&lt;&gt;"",N23,IF(L23&lt;&gt;"",L23,IF(J23&lt;&gt;"",J23,IF(H23&lt;&gt;"",H23,IF(F23&lt;&gt;"",F23,""))))))</f>
        <v/>
      </c>
      <c r="R23" s="87" t="str">
        <f aca="false">IF(Q23="","sin datos",IF(Q23&gt;=IF(P23&lt;&gt;"",O23,IF(N23&lt;&gt;"",M23,IF(L23&lt;&gt;"",K23,IF(J23&lt;&gt;"",I23,IF(H23&lt;&gt;"",G23,IF(F23&lt;&gt;"",E23,"")))))),"✓ completo","faltaron "&amp;(IF(P23&lt;&gt;"",O23,IF(N23&lt;&gt;"",M23,IF(L23&lt;&gt;"",K23,IF(J23&lt;&gt;"",I23,IF(H23&lt;&gt;"",G23,IF(F23&lt;&gt;"",E23,""))))))-Q23)))</f>
        <v>sin datos</v>
      </c>
    </row>
    <row r="25" customFormat="false" ht="15" hidden="false" customHeight="false" outlineLevel="0" collapsed="false">
      <c r="A25" s="78" t="s">
        <v>153</v>
      </c>
      <c r="B25" s="79" t="s">
        <v>146</v>
      </c>
      <c r="C25" s="79" t="s">
        <v>120</v>
      </c>
      <c r="D25" s="79" t="s">
        <v>148</v>
      </c>
      <c r="E25" s="77" t="s">
        <v>152</v>
      </c>
      <c r="F25" s="75"/>
      <c r="G25" s="75"/>
      <c r="H25" s="75"/>
      <c r="I25" s="75"/>
      <c r="J25" s="75"/>
      <c r="K25" s="75"/>
      <c r="L25" s="75"/>
      <c r="M25" s="75"/>
      <c r="N25" s="75"/>
      <c r="O25" s="75"/>
      <c r="P25" s="75"/>
      <c r="Q25" s="75"/>
      <c r="R25" s="75"/>
    </row>
    <row r="26" customFormat="false" ht="15" hidden="false" customHeight="false" outlineLevel="0" collapsed="false">
      <c r="A26" s="88" t="s">
        <v>143</v>
      </c>
      <c r="B26" s="89"/>
      <c r="C26" s="89"/>
      <c r="D26" s="89"/>
      <c r="E26" s="82" t="s">
        <v>88</v>
      </c>
      <c r="F26" s="83"/>
      <c r="G26" s="82" t="str">
        <f aca="false">IF(F26="","",F26)</f>
        <v/>
      </c>
      <c r="H26" s="83"/>
      <c r="I26" s="82" t="str">
        <f aca="false">IF(H26="","",H26)</f>
        <v/>
      </c>
      <c r="J26" s="83"/>
      <c r="K26" s="82" t="str">
        <f aca="false">IF(J26="","",J26)</f>
        <v/>
      </c>
      <c r="L26" s="83"/>
      <c r="M26" s="82" t="str">
        <f aca="false">IF(L26="","",L26)</f>
        <v/>
      </c>
      <c r="N26" s="83"/>
      <c r="O26" s="82" t="str">
        <f aca="false">IF(N26="","",N26)</f>
        <v/>
      </c>
      <c r="P26" s="83"/>
      <c r="Q26" s="90" t="str">
        <f aca="false">IF(P26&lt;&gt;"",P26,IF(N26&lt;&gt;"",N26,IF(L26&lt;&gt;"",L26,IF(J26&lt;&gt;"",J26,IF(H26&lt;&gt;"",H26,IF(F26&lt;&gt;"",F26,""))))))</f>
        <v/>
      </c>
      <c r="R26" s="89"/>
    </row>
    <row r="27" customFormat="false" ht="15" hidden="false" customHeight="false" outlineLevel="0" collapsed="false">
      <c r="A27" s="88" t="s">
        <v>144</v>
      </c>
      <c r="B27" s="89"/>
      <c r="C27" s="89"/>
      <c r="D27" s="89"/>
      <c r="E27" s="46" t="n">
        <v>13</v>
      </c>
      <c r="F27" s="85"/>
      <c r="G27" s="46" t="n">
        <v>13</v>
      </c>
      <c r="H27" s="85"/>
      <c r="I27" s="46" t="n">
        <v>13</v>
      </c>
      <c r="J27" s="85"/>
      <c r="K27" s="46" t="n">
        <v>13</v>
      </c>
      <c r="L27" s="85"/>
      <c r="M27" s="46" t="n">
        <v>13</v>
      </c>
      <c r="N27" s="85"/>
      <c r="O27" s="46" t="n">
        <v>13</v>
      </c>
      <c r="P27" s="85"/>
      <c r="Q27" s="91" t="str">
        <f aca="false">IF(P27&lt;&gt;"",P27,IF(N27&lt;&gt;"",N27,IF(L27&lt;&gt;"",L27,IF(J27&lt;&gt;"",J27,IF(H27&lt;&gt;"",H27,IF(F27&lt;&gt;"",F27,""))))))</f>
        <v/>
      </c>
      <c r="R27" s="92" t="str">
        <f aca="false">IF(Q27="","sin datos",IF(Q27&gt;=IF(P27&lt;&gt;"",O27,IF(N27&lt;&gt;"",M27,IF(L27&lt;&gt;"",K27,IF(J27&lt;&gt;"",I27,IF(H27&lt;&gt;"",G27,IF(F27&lt;&gt;"",E27,"")))))),"✓ completo","faltaron "&amp;(IF(P27&lt;&gt;"",O27,IF(N27&lt;&gt;"",M27,IF(L27&lt;&gt;"",K27,IF(J27&lt;&gt;"",I27,IF(H27&lt;&gt;"",G27,IF(F27&lt;&gt;"",E27,""))))))-Q27)))</f>
        <v>sin datos</v>
      </c>
    </row>
  </sheetData>
  <conditionalFormatting sqref="R5:R29">
    <cfRule type="expression" priority="2" aboveAverage="0" equalAverage="0" bottom="0" percent="0" rank="0" text="" dxfId="3">
      <formula>LEFT(R5,1)="✓"</formula>
    </cfRule>
    <cfRule type="expression" priority="3" aboveAverage="0" equalAverage="0" bottom="0" percent="0" rank="0" text="" dxfId="4">
      <formula>LEFT(R5,5)="falta"</formula>
    </cfRule>
  </conditionalFormatting>
  <dataValidations count="4">
    <dataValidation allowBlank="true" errorStyle="stop" operator="between" showDropDown="false" showErrorMessage="false" showInputMessage="false" sqref="F6 H6 J6 L6 N6 P6 F10 H10 J10 L10 N10 P10 F14 H14 J14 L14 N14 P14 F18 H18 J18 L18 N18 P18 F22 H22 J22 L22 N22 P22 F26 H26 J26 L26 N26 P26" type="list">
      <formula1>"full,half lay,straddle,super adv tuck,adv tuck,tuck,lean"</formula1>
      <formula2>0</formula2>
    </dataValidation>
    <dataValidation allowBlank="true" errorStyle="stop" operator="between" showDropDown="false" showErrorMessage="false" showInputMessage="false" sqref="B5 B9 B13 B17 B21 B25" type="list">
      <formula1>"Press de plancha,90° press,Press a front lever"</formula1>
      <formula2>0</formula2>
    </dataValidation>
    <dataValidation allowBlank="true" errorStyle="stop" operator="between" showDropDown="false" showErrorMessage="false" showInputMessage="false" sqref="C5 C9 C13 C17 C21 C25" type="list">
      <formula1>"Push-up en plancha,HSPU,Pull-up en front lever,Muscle-up,Archer"</formula1>
      <formula2>0</formula2>
    </dataValidation>
    <dataValidation allowBlank="true" errorStyle="stop" operator="between" showDropDown="false" showErrorMessage="false" showInputMessage="false" sqref="D5 D9 D13 D17 D21 D25" type="list">
      <formula1>"Hold de plancha,Hold de vertical,Hold de front lever,Back lever"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FAE6B"/>
    <pageSetUpPr fitToPage="false"/>
  </sheetPr>
  <dimension ref="A1:AC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21.75" hidden="false" customHeight="true" outlineLevel="0" collapsed="false">
      <c r="A1" s="14" t="s">
        <v>154</v>
      </c>
      <c r="B1" s="2"/>
      <c r="C1" s="2"/>
      <c r="D1" s="2"/>
      <c r="E1" s="2"/>
      <c r="F1" s="2"/>
      <c r="G1" s="2"/>
      <c r="H1" s="2"/>
      <c r="I1" s="2"/>
      <c r="J1" s="2"/>
      <c r="K1" s="2"/>
      <c r="L1" s="2"/>
      <c r="M1" s="2"/>
      <c r="N1" s="2"/>
      <c r="O1" s="2"/>
      <c r="P1" s="2"/>
      <c r="Q1" s="2"/>
      <c r="R1" s="2"/>
      <c r="S1" s="2"/>
      <c r="T1" s="2"/>
      <c r="U1" s="2"/>
      <c r="V1" s="2"/>
      <c r="W1" s="2"/>
      <c r="X1" s="2"/>
      <c r="Y1" s="2"/>
      <c r="Z1" s="2"/>
      <c r="AA1" s="2"/>
      <c r="AB1" s="2"/>
      <c r="AC1" s="2"/>
    </row>
    <row r="2" customFormat="false" ht="15" hidden="false" customHeight="true" outlineLevel="0" collapsed="false">
      <c r="A2" s="15" t="s">
        <v>155</v>
      </c>
      <c r="B2" s="2"/>
      <c r="C2" s="2"/>
      <c r="D2" s="2"/>
      <c r="E2" s="2"/>
      <c r="F2" s="2"/>
      <c r="G2" s="2"/>
      <c r="H2" s="2"/>
      <c r="I2" s="2"/>
      <c r="J2" s="2"/>
      <c r="K2" s="2"/>
      <c r="L2" s="2"/>
      <c r="M2" s="2"/>
      <c r="N2" s="2"/>
      <c r="O2" s="2"/>
      <c r="P2" s="2"/>
      <c r="Q2" s="2"/>
      <c r="R2" s="2"/>
      <c r="S2" s="2"/>
      <c r="T2" s="2"/>
      <c r="U2" s="2"/>
      <c r="V2" s="2"/>
      <c r="W2" s="2"/>
      <c r="X2" s="2"/>
      <c r="Y2" s="2"/>
      <c r="Z2" s="2"/>
      <c r="AA2" s="2"/>
      <c r="AB2" s="2"/>
      <c r="AC2" s="2"/>
    </row>
    <row r="3" customFormat="false" ht="15" hidden="false" customHeight="true" outlineLevel="0" collapsed="false">
      <c r="A3" s="15" t="s">
        <v>156</v>
      </c>
      <c r="B3" s="2"/>
      <c r="C3" s="2"/>
      <c r="D3" s="2"/>
      <c r="E3" s="2"/>
      <c r="F3" s="2"/>
      <c r="G3" s="2"/>
      <c r="H3" s="2"/>
      <c r="I3" s="2"/>
      <c r="J3" s="2"/>
      <c r="K3" s="2"/>
      <c r="L3" s="2"/>
      <c r="M3" s="2"/>
      <c r="N3" s="2"/>
      <c r="O3" s="2"/>
      <c r="P3" s="2"/>
      <c r="Q3" s="2"/>
      <c r="R3" s="2"/>
      <c r="S3" s="2"/>
      <c r="T3" s="2"/>
      <c r="U3" s="2"/>
      <c r="V3" s="2"/>
      <c r="W3" s="2"/>
      <c r="X3" s="2"/>
      <c r="Y3" s="2"/>
      <c r="Z3" s="2"/>
      <c r="AA3" s="2"/>
      <c r="AB3" s="2"/>
      <c r="AC3"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FAE6B"/>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6"/>
    <col collapsed="false" customWidth="true" hidden="false" outlineLevel="0" max="6" min="3" style="1" width="14"/>
  </cols>
  <sheetData>
    <row r="1" customFormat="false" ht="15" hidden="false" customHeight="true" outlineLevel="0" collapsed="false">
      <c r="A1" s="2"/>
      <c r="B1" s="2"/>
      <c r="C1" s="2"/>
      <c r="D1" s="2"/>
      <c r="E1" s="2"/>
      <c r="F1" s="2"/>
      <c r="G1" s="2"/>
    </row>
    <row r="2" customFormat="false" ht="19.5" hidden="false" customHeight="true" outlineLevel="0" collapsed="false">
      <c r="A2" s="2"/>
      <c r="B2" s="93" t="s">
        <v>157</v>
      </c>
      <c r="C2" s="2"/>
      <c r="D2" s="2"/>
      <c r="E2" s="2"/>
      <c r="F2" s="2"/>
      <c r="G2" s="2"/>
    </row>
    <row r="3" customFormat="false" ht="39.75" hidden="false" customHeight="true" outlineLevel="0" collapsed="false">
      <c r="B3" s="94" t="s">
        <v>158</v>
      </c>
    </row>
    <row r="5" customFormat="false" ht="21.75" hidden="false" customHeight="true" outlineLevel="0" collapsed="false">
      <c r="B5" s="95" t="s">
        <v>159</v>
      </c>
      <c r="C5" s="95" t="s">
        <v>78</v>
      </c>
      <c r="D5" s="95" t="s">
        <v>79</v>
      </c>
      <c r="E5" s="95" t="s">
        <v>80</v>
      </c>
      <c r="F5" s="95" t="s">
        <v>160</v>
      </c>
    </row>
    <row r="6" customFormat="false" ht="15" hidden="false" customHeight="true" outlineLevel="0" collapsed="false">
      <c r="B6" s="96" t="s">
        <v>161</v>
      </c>
      <c r="C6" s="97" t="n">
        <f aca="false">SUM(Plancha!W5:W60)</f>
        <v>4</v>
      </c>
      <c r="D6" s="97" t="n">
        <f aca="false">SUM(Plancha!X5:X60)</f>
        <v>4</v>
      </c>
      <c r="E6" s="98" t="n">
        <f aca="false">IF(D6=0,"",C6/D6)</f>
        <v>1</v>
      </c>
      <c r="F6" s="99" t="n">
        <f aca="false">IF(D6=0,"",SUMPRODUCT((Plancha!Z5:Z60&lt;&gt;"")*(Plancha!X5:X60)*N(+Plancha!Z5:Z60))/D6)</f>
        <v>0.75</v>
      </c>
    </row>
    <row r="7" customFormat="false" ht="15" hidden="false" customHeight="true" outlineLevel="0" collapsed="false">
      <c r="B7" s="96" t="s">
        <v>162</v>
      </c>
      <c r="C7" s="97" t="n">
        <f aca="false">SUM(Front!W5:W60)</f>
        <v>0</v>
      </c>
      <c r="D7" s="97" t="n">
        <f aca="false">SUM(Front!X5:X60)</f>
        <v>0</v>
      </c>
      <c r="E7" s="98" t="str">
        <f aca="false">IF(D7=0,"",C7/D7)</f>
        <v/>
      </c>
      <c r="F7" s="99" t="str">
        <f aca="false">IF(D7=0,"",SUMPRODUCT((Front!Z5:Z60&lt;&gt;"")*(Front!X5:X60)*N(+Front!Z5:Z60))/D7)</f>
        <v/>
      </c>
    </row>
    <row r="8" customFormat="false" ht="15" hidden="false" customHeight="true" outlineLevel="0" collapsed="false">
      <c r="B8" s="96" t="s">
        <v>163</v>
      </c>
      <c r="C8" s="97" t="n">
        <f aca="false">SUM(Vertical!W5:W60)</f>
        <v>0</v>
      </c>
      <c r="D8" s="97" t="n">
        <f aca="false">SUM(Vertical!X5:X60)</f>
        <v>0</v>
      </c>
      <c r="E8" s="98" t="str">
        <f aca="false">IF(D8=0,"",C8/D8)</f>
        <v/>
      </c>
      <c r="F8" s="99" t="str">
        <f aca="false">IF(D8=0,"",SUMPRODUCT((Vertical!Z5:Z60&lt;&gt;"")*(Vertical!X5:X60)*N(+Vertical!Z5:Z60))/D8)</f>
        <v/>
      </c>
    </row>
    <row r="9" customFormat="false" ht="15" hidden="false" customHeight="true" outlineLevel="0" collapsed="false">
      <c r="B9" s="96" t="s">
        <v>164</v>
      </c>
      <c r="C9" s="97" t="n">
        <f aca="false">SUM(Dominadas!W5:W60)</f>
        <v>0</v>
      </c>
      <c r="D9" s="97" t="n">
        <f aca="false">SUM(Dominadas!X5:X60)</f>
        <v>0</v>
      </c>
      <c r="E9" s="98" t="str">
        <f aca="false">IF(D9=0,"",C9/D9)</f>
        <v/>
      </c>
      <c r="F9" s="99" t="str">
        <f aca="false">IF(D9=0,"",SUMPRODUCT((Dominadas!Z5:Z60&lt;&gt;"")*(Dominadas!X5:X60)*N(+Dominadas!Z5:Z60))/D9)</f>
        <v/>
      </c>
    </row>
    <row r="10" customFormat="false" ht="15" hidden="false" customHeight="true" outlineLevel="0" collapsed="false">
      <c r="B10" s="100" t="s">
        <v>165</v>
      </c>
      <c r="C10" s="100" t="n">
        <f aca="false">SUM(C6:C9)</f>
        <v>4</v>
      </c>
      <c r="D10" s="100" t="n">
        <f aca="false">SUM(D6:D9)</f>
        <v>4</v>
      </c>
      <c r="E10" s="101" t="n">
        <f aca="false">IF(D10=0,"",C10/D10)</f>
        <v>1</v>
      </c>
      <c r="F10" s="102" t="n">
        <f aca="false">IF(D10=0,"",SUMPRODUCT(D6:D9,N(+F6:F9))/D10)</f>
        <v>0.75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FAE6B"/>
    <pageSetUpPr fitToPage="false"/>
  </sheetPr>
  <dimension ref="A1:M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1" width="20"/>
    <col collapsed="false" customWidth="true" hidden="false" outlineLevel="0" max="13" min="10" style="1" width="22"/>
  </cols>
  <sheetData>
    <row r="1" customFormat="false" ht="15" hidden="false" customHeight="true" outlineLevel="0" collapsed="false">
      <c r="A1" s="14" t="s">
        <v>166</v>
      </c>
      <c r="B1" s="2"/>
      <c r="C1" s="2"/>
      <c r="D1" s="2"/>
      <c r="E1" s="2"/>
      <c r="F1" s="2"/>
      <c r="G1" s="2"/>
      <c r="H1" s="2"/>
      <c r="I1" s="2"/>
      <c r="J1" s="2"/>
    </row>
    <row r="2" customFormat="false" ht="15" hidden="false" customHeight="true" outlineLevel="0" collapsed="false">
      <c r="A2" s="2"/>
      <c r="B2" s="2"/>
      <c r="C2" s="2"/>
      <c r="D2" s="2"/>
      <c r="E2" s="2"/>
      <c r="F2" s="2"/>
      <c r="G2" s="2"/>
      <c r="H2" s="2"/>
      <c r="I2" s="2"/>
      <c r="J2" s="2"/>
    </row>
    <row r="3" customFormat="false" ht="15" hidden="false" customHeight="true" outlineLevel="0" collapsed="false">
      <c r="A3" s="15" t="s">
        <v>167</v>
      </c>
      <c r="B3" s="2"/>
      <c r="C3" s="2"/>
      <c r="D3" s="2"/>
      <c r="E3" s="2"/>
      <c r="F3" s="2"/>
      <c r="G3" s="2"/>
      <c r="H3" s="2"/>
      <c r="I3" s="2"/>
      <c r="J3" s="2"/>
    </row>
    <row r="4" customFormat="false" ht="15" hidden="false" customHeight="true" outlineLevel="0" collapsed="false">
      <c r="A4" s="103" t="s">
        <v>168</v>
      </c>
      <c r="B4" s="103" t="s">
        <v>106</v>
      </c>
      <c r="C4" s="103" t="s">
        <v>110</v>
      </c>
      <c r="D4" s="103" t="s">
        <v>112</v>
      </c>
      <c r="E4" s="103" t="s">
        <v>169</v>
      </c>
      <c r="F4" s="103" t="s">
        <v>120</v>
      </c>
      <c r="G4" s="103" t="s">
        <v>170</v>
      </c>
      <c r="H4" s="103" t="s">
        <v>97</v>
      </c>
      <c r="I4" s="103" t="s">
        <v>60</v>
      </c>
      <c r="J4" s="103" t="s">
        <v>171</v>
      </c>
      <c r="K4" s="103" t="s">
        <v>129</v>
      </c>
      <c r="L4" s="103" t="s">
        <v>130</v>
      </c>
      <c r="M4" s="103" t="s">
        <v>131</v>
      </c>
    </row>
    <row r="5" customFormat="false" ht="15" hidden="false" customHeight="true" outlineLevel="0" collapsed="false">
      <c r="A5" s="104" t="s">
        <v>84</v>
      </c>
      <c r="B5" s="104" t="s">
        <v>172</v>
      </c>
      <c r="C5" s="104" t="s">
        <v>84</v>
      </c>
      <c r="D5" s="104" t="s">
        <v>84</v>
      </c>
      <c r="E5" s="104" t="s">
        <v>117</v>
      </c>
      <c r="F5" s="104" t="s">
        <v>121</v>
      </c>
      <c r="G5" s="104" t="s">
        <v>124</v>
      </c>
      <c r="H5" s="104" t="s">
        <v>173</v>
      </c>
      <c r="I5" s="6" t="s">
        <v>93</v>
      </c>
      <c r="J5" s="105" t="s">
        <v>84</v>
      </c>
      <c r="K5" s="105" t="s">
        <v>139</v>
      </c>
      <c r="L5" s="105" t="s">
        <v>140</v>
      </c>
      <c r="M5" s="105" t="s">
        <v>141</v>
      </c>
    </row>
    <row r="6" customFormat="false" ht="15" hidden="false" customHeight="true" outlineLevel="0" collapsed="false">
      <c r="A6" s="104" t="s">
        <v>174</v>
      </c>
      <c r="B6" s="104" t="s">
        <v>175</v>
      </c>
      <c r="C6" s="104" t="s">
        <v>88</v>
      </c>
      <c r="D6" s="104" t="s">
        <v>88</v>
      </c>
      <c r="E6" s="104" t="s">
        <v>116</v>
      </c>
      <c r="F6" s="104" t="s">
        <v>176</v>
      </c>
      <c r="G6" s="104" t="s">
        <v>125</v>
      </c>
      <c r="H6" s="104" t="s">
        <v>177</v>
      </c>
      <c r="I6" s="6" t="s">
        <v>95</v>
      </c>
      <c r="J6" s="105" t="s">
        <v>174</v>
      </c>
      <c r="K6" s="105" t="s">
        <v>110</v>
      </c>
      <c r="L6" s="105" t="s">
        <v>106</v>
      </c>
      <c r="M6" s="105" t="s">
        <v>178</v>
      </c>
    </row>
    <row r="7" customFormat="false" ht="15" hidden="false" customHeight="true" outlineLevel="0" collapsed="false">
      <c r="A7" s="104" t="s">
        <v>88</v>
      </c>
      <c r="B7" s="104" t="s">
        <v>107</v>
      </c>
      <c r="C7" s="104" t="s">
        <v>50</v>
      </c>
      <c r="D7" s="104" t="s">
        <v>179</v>
      </c>
      <c r="E7" s="104" t="s">
        <v>180</v>
      </c>
      <c r="F7" s="104" t="s">
        <v>122</v>
      </c>
      <c r="G7" s="104" t="s">
        <v>181</v>
      </c>
      <c r="H7" s="104" t="s">
        <v>98</v>
      </c>
      <c r="I7" s="6" t="s">
        <v>85</v>
      </c>
      <c r="J7" s="105" t="s">
        <v>88</v>
      </c>
      <c r="K7" s="105" t="s">
        <v>146</v>
      </c>
      <c r="L7" s="105" t="s">
        <v>147</v>
      </c>
      <c r="M7" s="105" t="s">
        <v>148</v>
      </c>
    </row>
    <row r="8" customFormat="false" ht="15" hidden="false" customHeight="true" outlineLevel="0" collapsed="false">
      <c r="A8" s="104" t="s">
        <v>179</v>
      </c>
      <c r="B8" s="104" t="s">
        <v>182</v>
      </c>
      <c r="C8" s="104" t="s">
        <v>49</v>
      </c>
      <c r="D8" s="104" t="s">
        <v>50</v>
      </c>
      <c r="E8" s="104" t="s">
        <v>118</v>
      </c>
      <c r="F8" s="104" t="s">
        <v>119</v>
      </c>
      <c r="G8" s="104" t="s">
        <v>126</v>
      </c>
      <c r="H8" s="104" t="s">
        <v>99</v>
      </c>
      <c r="J8" s="105" t="s">
        <v>179</v>
      </c>
      <c r="L8" s="105" t="s">
        <v>120</v>
      </c>
      <c r="M8" s="105" t="s">
        <v>183</v>
      </c>
    </row>
    <row r="9" customFormat="false" ht="15" hidden="false" customHeight="true" outlineLevel="0" collapsed="false">
      <c r="A9" s="104" t="s">
        <v>50</v>
      </c>
      <c r="B9" s="104" t="s">
        <v>108</v>
      </c>
      <c r="C9" s="104" t="s">
        <v>111</v>
      </c>
      <c r="D9" s="104" t="s">
        <v>49</v>
      </c>
      <c r="E9" s="104" t="s">
        <v>119</v>
      </c>
      <c r="G9" s="104" t="s">
        <v>184</v>
      </c>
      <c r="J9" s="105" t="s">
        <v>50</v>
      </c>
      <c r="L9" s="105" t="s">
        <v>185</v>
      </c>
    </row>
    <row r="10" customFormat="false" ht="15" hidden="false" customHeight="true" outlineLevel="0" collapsed="false">
      <c r="A10" s="104" t="s">
        <v>49</v>
      </c>
      <c r="B10" s="104" t="s">
        <v>111</v>
      </c>
      <c r="D10" s="104" t="s">
        <v>113</v>
      </c>
      <c r="E10" s="104" t="s">
        <v>122</v>
      </c>
      <c r="J10" s="105" t="s">
        <v>49</v>
      </c>
    </row>
    <row r="11" customFormat="false" ht="15" hidden="false" customHeight="true" outlineLevel="0" collapsed="false">
      <c r="A11" s="104" t="s">
        <v>96</v>
      </c>
      <c r="B11" s="104" t="s">
        <v>109</v>
      </c>
      <c r="D11" s="104" t="s">
        <v>186</v>
      </c>
      <c r="J11" s="105" t="s">
        <v>96</v>
      </c>
    </row>
    <row r="12" customFormat="false" ht="15" hidden="false" customHeight="true" outlineLevel="0" collapsed="false">
      <c r="J12" s="105" t="s">
        <v>113</v>
      </c>
    </row>
    <row r="13" customFormat="false" ht="15" hidden="false" customHeight="true" outlineLevel="0" collapsed="false">
      <c r="J13" s="105" t="s">
        <v>175</v>
      </c>
    </row>
    <row r="14" customFormat="false" ht="15" hidden="false" customHeight="true" outlineLevel="0" collapsed="false">
      <c r="J14" s="105" t="s">
        <v>107</v>
      </c>
    </row>
    <row r="15" customFormat="false" ht="15" hidden="false" customHeight="true" outlineLevel="0" collapsed="false">
      <c r="J15" s="105" t="s">
        <v>182</v>
      </c>
    </row>
    <row r="16" customFormat="false" ht="15" hidden="false" customHeight="true" outlineLevel="0" collapsed="false">
      <c r="J16" s="105" t="s">
        <v>108</v>
      </c>
    </row>
    <row r="17" customFormat="false" ht="15" hidden="false" customHeight="true" outlineLevel="0" collapsed="false">
      <c r="J17" s="105" t="s">
        <v>111</v>
      </c>
    </row>
    <row r="18" customFormat="false" ht="15" hidden="false" customHeight="true" outlineLevel="0" collapsed="false">
      <c r="J18" s="105" t="s">
        <v>109</v>
      </c>
    </row>
    <row r="19" customFormat="false" ht="15" hidden="false" customHeight="true" outlineLevel="0" collapsed="false">
      <c r="J19" s="105" t="s">
        <v>117</v>
      </c>
    </row>
    <row r="20" customFormat="false" ht="15" hidden="false" customHeight="true" outlineLevel="0" collapsed="false">
      <c r="J20" s="105" t="s">
        <v>116</v>
      </c>
    </row>
    <row r="21" customFormat="false" ht="15" hidden="false" customHeight="true" outlineLevel="0" collapsed="false">
      <c r="J21" s="105" t="s">
        <v>180</v>
      </c>
    </row>
    <row r="22" customFormat="false" ht="15" hidden="false" customHeight="true" outlineLevel="0" collapsed="false">
      <c r="J22" s="105" t="s">
        <v>118</v>
      </c>
    </row>
    <row r="23" customFormat="false" ht="15" hidden="false" customHeight="true" outlineLevel="0" collapsed="false">
      <c r="J23" s="105" t="s">
        <v>121</v>
      </c>
    </row>
    <row r="24" customFormat="false" ht="15" hidden="false" customHeight="true" outlineLevel="0" collapsed="false">
      <c r="J24" s="105" t="s">
        <v>122</v>
      </c>
    </row>
    <row r="25" customFormat="false" ht="15" hidden="false" customHeight="true" outlineLevel="0" collapsed="false">
      <c r="J25" s="105" t="s">
        <v>119</v>
      </c>
    </row>
    <row r="26" customFormat="false" ht="15" hidden="false" customHeight="true" outlineLevel="0" collapsed="false">
      <c r="J26" s="105" t="s">
        <v>124</v>
      </c>
    </row>
    <row r="27" customFormat="false" ht="15" hidden="false" customHeight="true" outlineLevel="0" collapsed="false">
      <c r="J27" s="105" t="s">
        <v>125</v>
      </c>
    </row>
    <row r="28" customFormat="false" ht="15" hidden="false" customHeight="true" outlineLevel="0" collapsed="false">
      <c r="J28" s="105" t="s">
        <v>126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FAE6B"/>
    <pageSetUpPr fitToPage="fals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2"/>
  </cols>
  <sheetData>
    <row r="1" customFormat="false" ht="21.75" hidden="false" customHeight="true" outlineLevel="0" collapsed="false">
      <c r="A1" s="14" t="s">
        <v>187</v>
      </c>
      <c r="B1" s="2"/>
      <c r="C1" s="2"/>
      <c r="D1" s="2"/>
      <c r="E1" s="2"/>
      <c r="F1" s="2"/>
      <c r="G1" s="2"/>
      <c r="H1" s="2"/>
      <c r="I1" s="2"/>
    </row>
    <row r="2" customFormat="false" ht="15" hidden="false" customHeight="true" outlineLevel="0" collapsed="false">
      <c r="A2" s="15" t="s">
        <v>188</v>
      </c>
      <c r="B2" s="2"/>
      <c r="C2" s="2"/>
      <c r="D2" s="2"/>
      <c r="E2" s="2"/>
      <c r="F2" s="2"/>
      <c r="G2" s="2"/>
      <c r="H2" s="2"/>
      <c r="I2" s="2"/>
    </row>
    <row r="3" customFormat="false" ht="15" hidden="false" customHeight="true" outlineLevel="0" collapsed="false">
      <c r="A3" s="15" t="s">
        <v>189</v>
      </c>
      <c r="B3" s="2"/>
      <c r="C3" s="2"/>
      <c r="D3" s="2"/>
      <c r="E3" s="2"/>
      <c r="F3" s="2"/>
      <c r="G3" s="2"/>
      <c r="H3" s="2"/>
      <c r="I3" s="2"/>
    </row>
    <row r="4" customFormat="false" ht="15" hidden="false" customHeight="true" outlineLevel="0" collapsed="false">
      <c r="A4" s="17" t="s">
        <v>159</v>
      </c>
      <c r="B4" s="17" t="s">
        <v>190</v>
      </c>
      <c r="C4" s="17" t="s">
        <v>61</v>
      </c>
      <c r="D4" s="17" t="s">
        <v>33</v>
      </c>
      <c r="E4" s="17" t="s">
        <v>34</v>
      </c>
      <c r="F4" s="17" t="s">
        <v>35</v>
      </c>
      <c r="G4" s="17" t="s">
        <v>36</v>
      </c>
      <c r="H4" s="17" t="s">
        <v>37</v>
      </c>
      <c r="I4" s="17" t="s">
        <v>38</v>
      </c>
    </row>
    <row r="5" customFormat="false" ht="15" hidden="false" customHeight="true" outlineLevel="0" collapsed="false">
      <c r="A5" s="106" t="s">
        <v>161</v>
      </c>
      <c r="B5" s="106" t="str">
        <f aca="false">Plancha!A5</f>
        <v>Planche hold</v>
      </c>
      <c r="C5" s="106" t="str">
        <f aca="false">Plancha!E5</f>
        <v>s</v>
      </c>
      <c r="D5" s="107" t="e">
        <f aca="false">IF(Plancha!I5="",NA(),Plancha!I5)</f>
        <v>#N/A</v>
      </c>
      <c r="E5" s="107" t="e">
        <f aca="false">IF(Plancha!K5="",NA(),Plancha!K5)</f>
        <v>#N/A</v>
      </c>
      <c r="F5" s="107" t="e">
        <f aca="false">IF(Plancha!M5="",NA(),Plancha!M5)</f>
        <v>#N/A</v>
      </c>
      <c r="G5" s="107" t="e">
        <f aca="false">IF(Plancha!O5="",NA(),Plancha!O5)</f>
        <v>#N/A</v>
      </c>
      <c r="H5" s="107" t="e">
        <f aca="false">IF(Plancha!Q5="",NA(),Plancha!Q5)</f>
        <v>#N/A</v>
      </c>
      <c r="I5" s="107" t="e">
        <f aca="false">IF(Plancha!S5="",NA(),Plancha!S5)</f>
        <v>#N/A</v>
      </c>
    </row>
    <row r="6" customFormat="false" ht="15" hidden="false" customHeight="true" outlineLevel="0" collapsed="false">
      <c r="A6" s="106" t="s">
        <v>161</v>
      </c>
      <c r="B6" s="106" t="str">
        <f aca="false">Plancha!A10</f>
        <v>Planche press</v>
      </c>
      <c r="C6" s="106" t="str">
        <f aca="false">Plancha!E10</f>
        <v>reps</v>
      </c>
      <c r="D6" s="107" t="n">
        <f aca="false">IF(Plancha!I10="",NA(),Plancha!I10)</f>
        <v>6</v>
      </c>
      <c r="E6" s="107" t="n">
        <f aca="false">IF(Plancha!K10="",NA(),Plancha!K10)</f>
        <v>7</v>
      </c>
      <c r="F6" s="107" t="n">
        <f aca="false">IF(Plancha!M10="",NA(),Plancha!M10)</f>
        <v>8</v>
      </c>
      <c r="G6" s="107" t="n">
        <f aca="false">IF(Plancha!O10="",NA(),Plancha!O10)</f>
        <v>8</v>
      </c>
      <c r="H6" s="107" t="e">
        <f aca="false">IF(Plancha!Q10="",NA(),Plancha!Q10)</f>
        <v>#N/A</v>
      </c>
      <c r="I6" s="107" t="e">
        <f aca="false">IF(Plancha!S10="",NA(),Plancha!S10)</f>
        <v>#N/A</v>
      </c>
    </row>
    <row r="7" customFormat="false" ht="15" hidden="false" customHeight="true" outlineLevel="0" collapsed="false">
      <c r="A7" s="106" t="s">
        <v>161</v>
      </c>
      <c r="B7" s="106" t="str">
        <f aca="false">Plancha!A15</f>
        <v>L-sit a plancha</v>
      </c>
      <c r="C7" s="106" t="str">
        <f aca="false">Plancha!E15</f>
        <v>reps</v>
      </c>
      <c r="D7" s="107" t="e">
        <f aca="false">IF(Plancha!I15="",NA(),Plancha!I15)</f>
        <v>#N/A</v>
      </c>
      <c r="E7" s="107" t="e">
        <f aca="false">IF(Plancha!K15="",NA(),Plancha!K15)</f>
        <v>#N/A</v>
      </c>
      <c r="F7" s="107" t="e">
        <f aca="false">IF(Plancha!M15="",NA(),Plancha!M15)</f>
        <v>#N/A</v>
      </c>
      <c r="G7" s="107" t="e">
        <f aca="false">IF(Plancha!O15="",NA(),Plancha!O15)</f>
        <v>#N/A</v>
      </c>
      <c r="H7" s="107" t="e">
        <f aca="false">IF(Plancha!Q15="",NA(),Plancha!Q15)</f>
        <v>#N/A</v>
      </c>
      <c r="I7" s="107" t="e">
        <f aca="false">IF(Plancha!S15="",NA(),Plancha!S15)</f>
        <v>#N/A</v>
      </c>
    </row>
    <row r="8" customFormat="false" ht="15" hidden="false" customHeight="true" outlineLevel="0" collapsed="false">
      <c r="A8" s="106" t="s">
        <v>162</v>
      </c>
      <c r="B8" s="106" t="str">
        <f aca="false">Front!A5</f>
        <v>Front lever hold</v>
      </c>
      <c r="C8" s="106" t="str">
        <f aca="false">Front!E5</f>
        <v>s</v>
      </c>
      <c r="D8" s="107" t="e">
        <f aca="false">IF(Front!I5="",NA(),Front!I5)</f>
        <v>#N/A</v>
      </c>
      <c r="E8" s="107" t="e">
        <f aca="false">IF(Front!K5="",NA(),Front!K5)</f>
        <v>#N/A</v>
      </c>
      <c r="F8" s="107" t="e">
        <f aca="false">IF(Front!M5="",NA(),Front!M5)</f>
        <v>#N/A</v>
      </c>
      <c r="G8" s="107" t="e">
        <f aca="false">IF(Front!O5="",NA(),Front!O5)</f>
        <v>#N/A</v>
      </c>
      <c r="H8" s="107" t="e">
        <f aca="false">IF(Front!Q5="",NA(),Front!Q5)</f>
        <v>#N/A</v>
      </c>
      <c r="I8" s="107" t="e">
        <f aca="false">IF(Front!S5="",NA(),Front!S5)</f>
        <v>#N/A</v>
      </c>
    </row>
    <row r="9" customFormat="false" ht="15" hidden="false" customHeight="true" outlineLevel="0" collapsed="false">
      <c r="A9" s="106" t="s">
        <v>162</v>
      </c>
      <c r="B9" s="106" t="str">
        <f aca="false">Front!A10</f>
        <v>Pull-ups en FL</v>
      </c>
      <c r="C9" s="106" t="str">
        <f aca="false">Front!E10</f>
        <v>reps</v>
      </c>
      <c r="D9" s="107" t="e">
        <f aca="false">IF(Front!I10="",NA(),Front!I10)</f>
        <v>#N/A</v>
      </c>
      <c r="E9" s="107" t="e">
        <f aca="false">IF(Front!K10="",NA(),Front!K10)</f>
        <v>#N/A</v>
      </c>
      <c r="F9" s="107" t="e">
        <f aca="false">IF(Front!M10="",NA(),Front!M10)</f>
        <v>#N/A</v>
      </c>
      <c r="G9" s="107" t="e">
        <f aca="false">IF(Front!O10="",NA(),Front!O10)</f>
        <v>#N/A</v>
      </c>
      <c r="H9" s="107" t="e">
        <f aca="false">IF(Front!Q10="",NA(),Front!Q10)</f>
        <v>#N/A</v>
      </c>
      <c r="I9" s="107" t="e">
        <f aca="false">IF(Front!S10="",NA(),Front!S10)</f>
        <v>#N/A</v>
      </c>
    </row>
    <row r="10" customFormat="false" ht="15" hidden="false" customHeight="true" outlineLevel="0" collapsed="false">
      <c r="A10" s="106" t="s">
        <v>162</v>
      </c>
      <c r="B10" s="106" t="str">
        <f aca="false">Front!A15</f>
        <v>FL raises</v>
      </c>
      <c r="C10" s="106" t="str">
        <f aca="false">Front!E15</f>
        <v>reps</v>
      </c>
      <c r="D10" s="107" t="e">
        <f aca="false">IF(Front!I15="",NA(),Front!I15)</f>
        <v>#N/A</v>
      </c>
      <c r="E10" s="107" t="e">
        <f aca="false">IF(Front!K15="",NA(),Front!K15)</f>
        <v>#N/A</v>
      </c>
      <c r="F10" s="107" t="e">
        <f aca="false">IF(Front!M15="",NA(),Front!M15)</f>
        <v>#N/A</v>
      </c>
      <c r="G10" s="107" t="e">
        <f aca="false">IF(Front!O15="",NA(),Front!O15)</f>
        <v>#N/A</v>
      </c>
      <c r="H10" s="107" t="e">
        <f aca="false">IF(Front!Q15="",NA(),Front!Q15)</f>
        <v>#N/A</v>
      </c>
      <c r="I10" s="107" t="e">
        <f aca="false">IF(Front!S15="",NA(),Front!S15)</f>
        <v>#N/A</v>
      </c>
    </row>
    <row r="11" customFormat="false" ht="15" hidden="false" customHeight="true" outlineLevel="0" collapsed="false">
      <c r="A11" s="106" t="s">
        <v>163</v>
      </c>
      <c r="B11" s="106" t="str">
        <f aca="false">Vertical!A5</f>
        <v>HSPU</v>
      </c>
      <c r="C11" s="106" t="str">
        <f aca="false">Vertical!E5</f>
        <v>reps</v>
      </c>
      <c r="D11" s="107" t="e">
        <f aca="false">IF(Vertical!I5="",NA(),Vertical!I5)</f>
        <v>#N/A</v>
      </c>
      <c r="E11" s="107" t="e">
        <f aca="false">IF(Vertical!K5="",NA(),Vertical!K5)</f>
        <v>#N/A</v>
      </c>
      <c r="F11" s="107" t="e">
        <f aca="false">IF(Vertical!M5="",NA(),Vertical!M5)</f>
        <v>#N/A</v>
      </c>
      <c r="G11" s="107" t="e">
        <f aca="false">IF(Vertical!O5="",NA(),Vertical!O5)</f>
        <v>#N/A</v>
      </c>
      <c r="H11" s="107" t="e">
        <f aca="false">IF(Vertical!Q5="",NA(),Vertical!Q5)</f>
        <v>#N/A</v>
      </c>
      <c r="I11" s="107" t="e">
        <f aca="false">IF(Vertical!S5="",NA(),Vertical!S5)</f>
        <v>#N/A</v>
      </c>
    </row>
    <row r="12" customFormat="false" ht="15" hidden="false" customHeight="true" outlineLevel="0" collapsed="false">
      <c r="A12" s="106" t="s">
        <v>163</v>
      </c>
      <c r="B12" s="106" t="str">
        <f aca="false">Vertical!A10</f>
        <v>90° press</v>
      </c>
      <c r="C12" s="106" t="str">
        <f aca="false">Vertical!E10</f>
        <v>reps</v>
      </c>
      <c r="D12" s="107" t="e">
        <f aca="false">IF(Vertical!I10="",NA(),Vertical!I10)</f>
        <v>#N/A</v>
      </c>
      <c r="E12" s="107" t="e">
        <f aca="false">IF(Vertical!K10="",NA(),Vertical!K10)</f>
        <v>#N/A</v>
      </c>
      <c r="F12" s="107" t="e">
        <f aca="false">IF(Vertical!M10="",NA(),Vertical!M10)</f>
        <v>#N/A</v>
      </c>
      <c r="G12" s="107" t="e">
        <f aca="false">IF(Vertical!O10="",NA(),Vertical!O10)</f>
        <v>#N/A</v>
      </c>
      <c r="H12" s="107" t="e">
        <f aca="false">IF(Vertical!Q10="",NA(),Vertical!Q10)</f>
        <v>#N/A</v>
      </c>
      <c r="I12" s="107" t="e">
        <f aca="false">IF(Vertical!S10="",NA(),Vertical!S10)</f>
        <v>#N/A</v>
      </c>
    </row>
    <row r="13" customFormat="false" ht="15" hidden="false" customHeight="true" outlineLevel="0" collapsed="false">
      <c r="A13" s="106" t="s">
        <v>163</v>
      </c>
      <c r="B13" s="106" t="str">
        <f aca="false">Vertical!A15</f>
        <v>Planche push-up</v>
      </c>
      <c r="C13" s="106" t="str">
        <f aca="false">Vertical!E15</f>
        <v>reps</v>
      </c>
      <c r="D13" s="107" t="e">
        <f aca="false">IF(Vertical!I15="",NA(),Vertical!I15)</f>
        <v>#N/A</v>
      </c>
      <c r="E13" s="107" t="e">
        <f aca="false">IF(Vertical!K15="",NA(),Vertical!K15)</f>
        <v>#N/A</v>
      </c>
      <c r="F13" s="107" t="e">
        <f aca="false">IF(Vertical!M15="",NA(),Vertical!M15)</f>
        <v>#N/A</v>
      </c>
      <c r="G13" s="107" t="e">
        <f aca="false">IF(Vertical!O15="",NA(),Vertical!O15)</f>
        <v>#N/A</v>
      </c>
      <c r="H13" s="107" t="e">
        <f aca="false">IF(Vertical!Q15="",NA(),Vertical!Q15)</f>
        <v>#N/A</v>
      </c>
      <c r="I13" s="107" t="e">
        <f aca="false">IF(Vertical!S15="",NA(),Vertical!S15)</f>
        <v>#N/A</v>
      </c>
    </row>
    <row r="14" customFormat="false" ht="15" hidden="false" customHeight="true" outlineLevel="0" collapsed="false">
      <c r="A14" s="106" t="s">
        <v>164</v>
      </c>
      <c r="B14" s="106" t="str">
        <f aca="false">Dominadas!A5</f>
        <v>One arm / archer</v>
      </c>
      <c r="C14" s="106" t="str">
        <f aca="false">Dominadas!E5</f>
        <v>reps</v>
      </c>
      <c r="D14" s="107" t="e">
        <f aca="false">IF(Dominadas!I5="",NA(),Dominadas!I5)</f>
        <v>#N/A</v>
      </c>
      <c r="E14" s="107" t="e">
        <f aca="false">IF(Dominadas!K5="",NA(),Dominadas!K5)</f>
        <v>#N/A</v>
      </c>
      <c r="F14" s="107" t="e">
        <f aca="false">IF(Dominadas!M5="",NA(),Dominadas!M5)</f>
        <v>#N/A</v>
      </c>
      <c r="G14" s="107" t="e">
        <f aca="false">IF(Dominadas!O5="",NA(),Dominadas!O5)</f>
        <v>#N/A</v>
      </c>
      <c r="H14" s="107" t="e">
        <f aca="false">IF(Dominadas!Q5="",NA(),Dominadas!Q5)</f>
        <v>#N/A</v>
      </c>
      <c r="I14" s="107" t="e">
        <f aca="false">IF(Dominadas!S5="",NA(),Dominadas!S5)</f>
        <v>#N/A</v>
      </c>
    </row>
    <row r="15" customFormat="false" ht="15" hidden="false" customHeight="true" outlineLevel="0" collapsed="false">
      <c r="A15" s="106" t="s">
        <v>164</v>
      </c>
      <c r="B15" s="106" t="str">
        <f aca="false">Dominadas!A10</f>
        <v>Muscle-up</v>
      </c>
      <c r="C15" s="106" t="str">
        <f aca="false">Dominadas!E10</f>
        <v>reps</v>
      </c>
      <c r="D15" s="107" t="e">
        <f aca="false">IF(Dominadas!I10="",NA(),Dominadas!I10)</f>
        <v>#N/A</v>
      </c>
      <c r="E15" s="107" t="e">
        <f aca="false">IF(Dominadas!K10="",NA(),Dominadas!K10)</f>
        <v>#N/A</v>
      </c>
      <c r="F15" s="107" t="e">
        <f aca="false">IF(Dominadas!M10="",NA(),Dominadas!M10)</f>
        <v>#N/A</v>
      </c>
      <c r="G15" s="107" t="e">
        <f aca="false">IF(Dominadas!O10="",NA(),Dominadas!O10)</f>
        <v>#N/A</v>
      </c>
      <c r="H15" s="107" t="e">
        <f aca="false">IF(Dominadas!Q10="",NA(),Dominadas!Q10)</f>
        <v>#N/A</v>
      </c>
      <c r="I15" s="107" t="e">
        <f aca="false">IF(Dominadas!S10="",NA(),Dominadas!S10)</f>
        <v>#N/A</v>
      </c>
    </row>
    <row r="16" customFormat="false" ht="15" hidden="false" customHeight="true" outlineLevel="0" collapsed="false">
      <c r="A16" s="106" t="s">
        <v>164</v>
      </c>
      <c r="B16" s="106" t="str">
        <f aca="false">Dominadas!A15</f>
        <v>Fondo a pelícano</v>
      </c>
      <c r="C16" s="106" t="str">
        <f aca="false">Dominadas!E15</f>
        <v>reps</v>
      </c>
      <c r="D16" s="107" t="e">
        <f aca="false">IF(Dominadas!I15="",NA(),Dominadas!I15)</f>
        <v>#N/A</v>
      </c>
      <c r="E16" s="107" t="e">
        <f aca="false">IF(Dominadas!K15="",NA(),Dominadas!K15)</f>
        <v>#N/A</v>
      </c>
      <c r="F16" s="107" t="e">
        <f aca="false">IF(Dominadas!M15="",NA(),Dominadas!M15)</f>
        <v>#N/A</v>
      </c>
      <c r="G16" s="107" t="e">
        <f aca="false">IF(Dominadas!O15="",NA(),Dominadas!O15)</f>
        <v>#N/A</v>
      </c>
      <c r="H16" s="107" t="e">
        <f aca="false">IF(Dominadas!Q15="",NA(),Dominadas!Q15)</f>
        <v>#N/A</v>
      </c>
      <c r="I16" s="107" t="e">
        <f aca="false">IF(Dominadas!S15="",NA(),Dominadas!S15)</f>
        <v>#N/A</v>
      </c>
    </row>
    <row r="17" customFormat="false" ht="15" hidden="false" customHeight="true" outlineLevel="0" collapsed="false">
      <c r="D17" s="108"/>
      <c r="E17" s="108"/>
      <c r="F17" s="108"/>
      <c r="G17" s="108"/>
      <c r="H17" s="108"/>
      <c r="I17" s="108"/>
    </row>
    <row r="18" customFormat="false" ht="15" hidden="false" customHeight="true" outlineLevel="0" collapsed="false">
      <c r="A18" s="5" t="s">
        <v>191</v>
      </c>
      <c r="D18" s="108"/>
      <c r="E18" s="108"/>
      <c r="F18" s="108"/>
      <c r="G18" s="108"/>
      <c r="H18" s="108"/>
      <c r="I18" s="108"/>
    </row>
    <row r="19" customFormat="false" ht="15" hidden="false" customHeight="true" outlineLevel="0" collapsed="false">
      <c r="A19" s="6" t="s">
        <v>161</v>
      </c>
      <c r="B19" s="6" t="s">
        <v>192</v>
      </c>
      <c r="D19" s="108" t="n">
        <f aca="false">IF(Plancha!H5="",NA(),Plancha!H5)</f>
        <v>4</v>
      </c>
      <c r="E19" s="108" t="e">
        <f aca="false">IF(Plancha!J5="",NA(),Plancha!J5)</f>
        <v>#N/A</v>
      </c>
      <c r="F19" s="108" t="e">
        <f aca="false">IF(Plancha!L5="",NA(),Plancha!L5)</f>
        <v>#N/A</v>
      </c>
      <c r="G19" s="108" t="e">
        <f aca="false">IF(Plancha!N5="",NA(),Plancha!N5)</f>
        <v>#N/A</v>
      </c>
      <c r="H19" s="108" t="e">
        <f aca="false">IF(Plancha!P5="",NA(),Plancha!P5)</f>
        <v>#N/A</v>
      </c>
      <c r="I19" s="108" t="e">
        <f aca="false">IF(Plancha!R5="",NA(),Plancha!R5)</f>
        <v>#N/A</v>
      </c>
    </row>
    <row r="20" customFormat="false" ht="15" hidden="false" customHeight="true" outlineLevel="0" collapsed="false">
      <c r="A20" s="6" t="s">
        <v>161</v>
      </c>
      <c r="B20" s="6" t="s">
        <v>193</v>
      </c>
      <c r="D20" s="108" t="e">
        <f aca="false">IF(Plancha!I5="",NA(),Plancha!I5)</f>
        <v>#N/A</v>
      </c>
      <c r="E20" s="108" t="e">
        <f aca="false">IF(Plancha!K5="",NA(),Plancha!K5)</f>
        <v>#N/A</v>
      </c>
      <c r="F20" s="108" t="e">
        <f aca="false">IF(Plancha!M5="",NA(),Plancha!M5)</f>
        <v>#N/A</v>
      </c>
      <c r="G20" s="108" t="e">
        <f aca="false">IF(Plancha!O5="",NA(),Plancha!O5)</f>
        <v>#N/A</v>
      </c>
      <c r="H20" s="108" t="e">
        <f aca="false">IF(Plancha!Q5="",NA(),Plancha!Q5)</f>
        <v>#N/A</v>
      </c>
      <c r="I20" s="108" t="e">
        <f aca="false">IF(Plancha!S5="",NA(),Plancha!S5)</f>
        <v>#N/A</v>
      </c>
    </row>
    <row r="21" customFormat="false" ht="15" hidden="false" customHeight="true" outlineLevel="0" collapsed="false">
      <c r="A21" s="6" t="s">
        <v>162</v>
      </c>
      <c r="B21" s="6" t="s">
        <v>194</v>
      </c>
      <c r="D21" s="108" t="n">
        <f aca="false">IF(Front!H5="",NA(),Front!H5)</f>
        <v>4</v>
      </c>
      <c r="E21" s="108" t="e">
        <f aca="false">IF(Front!J5="",NA(),Front!J5)</f>
        <v>#N/A</v>
      </c>
      <c r="F21" s="108" t="e">
        <f aca="false">IF(Front!L5="",NA(),Front!L5)</f>
        <v>#N/A</v>
      </c>
      <c r="G21" s="108" t="e">
        <f aca="false">IF(Front!N5="",NA(),Front!N5)</f>
        <v>#N/A</v>
      </c>
      <c r="H21" s="108" t="e">
        <f aca="false">IF(Front!P5="",NA(),Front!P5)</f>
        <v>#N/A</v>
      </c>
      <c r="I21" s="108" t="e">
        <f aca="false">IF(Front!R5="",NA(),Front!R5)</f>
        <v>#N/A</v>
      </c>
    </row>
    <row r="22" customFormat="false" ht="15" hidden="false" customHeight="true" outlineLevel="0" collapsed="false">
      <c r="A22" s="6" t="s">
        <v>162</v>
      </c>
      <c r="B22" s="6" t="s">
        <v>195</v>
      </c>
      <c r="D22" s="108" t="e">
        <f aca="false">IF(Front!I5="",NA(),Front!I5)</f>
        <v>#N/A</v>
      </c>
      <c r="E22" s="108" t="e">
        <f aca="false">IF(Front!K5="",NA(),Front!K5)</f>
        <v>#N/A</v>
      </c>
      <c r="F22" s="108" t="e">
        <f aca="false">IF(Front!M5="",NA(),Front!M5)</f>
        <v>#N/A</v>
      </c>
      <c r="G22" s="108" t="e">
        <f aca="false">IF(Front!O5="",NA(),Front!O5)</f>
        <v>#N/A</v>
      </c>
      <c r="H22" s="108" t="e">
        <f aca="false">IF(Front!Q5="",NA(),Front!Q5)</f>
        <v>#N/A</v>
      </c>
      <c r="I22" s="108" t="e">
        <f aca="false">IF(Front!S5="",NA(),Front!S5)</f>
        <v>#N/A</v>
      </c>
    </row>
    <row r="23" customFormat="false" ht="15" hidden="false" customHeight="true" outlineLevel="0" collapsed="false">
      <c r="A23" s="6" t="s">
        <v>163</v>
      </c>
      <c r="B23" s="6" t="s">
        <v>196</v>
      </c>
      <c r="D23" s="108" t="n">
        <f aca="false">IF(Vertical!H5="",NA(),Vertical!H5)</f>
        <v>3</v>
      </c>
      <c r="E23" s="108" t="e">
        <f aca="false">IF(Vertical!J5="",NA(),Vertical!J5)</f>
        <v>#N/A</v>
      </c>
      <c r="F23" s="108" t="e">
        <f aca="false">IF(Vertical!L5="",NA(),Vertical!L5)</f>
        <v>#N/A</v>
      </c>
      <c r="G23" s="108" t="e">
        <f aca="false">IF(Vertical!N5="",NA(),Vertical!N5)</f>
        <v>#N/A</v>
      </c>
      <c r="H23" s="108" t="e">
        <f aca="false">IF(Vertical!P5="",NA(),Vertical!P5)</f>
        <v>#N/A</v>
      </c>
      <c r="I23" s="108" t="e">
        <f aca="false">IF(Vertical!R5="",NA(),Vertical!R5)</f>
        <v>#N/A</v>
      </c>
    </row>
    <row r="24" customFormat="false" ht="15" hidden="false" customHeight="true" outlineLevel="0" collapsed="false">
      <c r="A24" s="6" t="s">
        <v>163</v>
      </c>
      <c r="B24" s="6" t="s">
        <v>197</v>
      </c>
      <c r="D24" s="108" t="e">
        <f aca="false">IF(Vertical!I5="",NA(),Vertical!I5)</f>
        <v>#N/A</v>
      </c>
      <c r="E24" s="108" t="e">
        <f aca="false">IF(Vertical!K5="",NA(),Vertical!K5)</f>
        <v>#N/A</v>
      </c>
      <c r="F24" s="108" t="e">
        <f aca="false">IF(Vertical!M5="",NA(),Vertical!M5)</f>
        <v>#N/A</v>
      </c>
      <c r="G24" s="108" t="e">
        <f aca="false">IF(Vertical!O5="",NA(),Vertical!O5)</f>
        <v>#N/A</v>
      </c>
      <c r="H24" s="108" t="e">
        <f aca="false">IF(Vertical!Q5="",NA(),Vertical!Q5)</f>
        <v>#N/A</v>
      </c>
      <c r="I24" s="108" t="e">
        <f aca="false">IF(Vertical!S5="",NA(),Vertical!S5)</f>
        <v>#N/A</v>
      </c>
    </row>
    <row r="25" customFormat="false" ht="15" hidden="false" customHeight="true" outlineLevel="0" collapsed="false">
      <c r="A25" s="6" t="s">
        <v>164</v>
      </c>
      <c r="B25" s="6" t="s">
        <v>198</v>
      </c>
      <c r="D25" s="108" t="n">
        <f aca="false">IF(Dominadas!H5="",NA(),Dominadas!H5)</f>
        <v>3</v>
      </c>
      <c r="E25" s="108" t="e">
        <f aca="false">IF(Dominadas!J5="",NA(),Dominadas!J5)</f>
        <v>#N/A</v>
      </c>
      <c r="F25" s="108" t="e">
        <f aca="false">IF(Dominadas!L5="",NA(),Dominadas!L5)</f>
        <v>#N/A</v>
      </c>
      <c r="G25" s="108" t="e">
        <f aca="false">IF(Dominadas!N5="",NA(),Dominadas!N5)</f>
        <v>#N/A</v>
      </c>
      <c r="H25" s="108" t="e">
        <f aca="false">IF(Dominadas!P5="",NA(),Dominadas!P5)</f>
        <v>#N/A</v>
      </c>
      <c r="I25" s="108" t="e">
        <f aca="false">IF(Dominadas!R5="",NA(),Dominadas!R5)</f>
        <v>#N/A</v>
      </c>
    </row>
    <row r="26" customFormat="false" ht="15" hidden="false" customHeight="true" outlineLevel="0" collapsed="false">
      <c r="A26" s="6" t="s">
        <v>164</v>
      </c>
      <c r="B26" s="6" t="s">
        <v>199</v>
      </c>
      <c r="D26" s="108" t="e">
        <f aca="false">IF(Dominadas!I5="",NA(),Dominadas!I5)</f>
        <v>#N/A</v>
      </c>
      <c r="E26" s="108" t="e">
        <f aca="false">IF(Dominadas!K5="",NA(),Dominadas!K5)</f>
        <v>#N/A</v>
      </c>
      <c r="F26" s="108" t="e">
        <f aca="false">IF(Dominadas!M5="",NA(),Dominadas!M5)</f>
        <v>#N/A</v>
      </c>
      <c r="G26" s="108" t="e">
        <f aca="false">IF(Dominadas!O5="",NA(),Dominadas!O5)</f>
        <v>#N/A</v>
      </c>
      <c r="H26" s="108" t="e">
        <f aca="false">IF(Dominadas!Q5="",NA(),Dominadas!Q5)</f>
        <v>#N/A</v>
      </c>
      <c r="I26" s="108" t="e">
        <f aca="false">IF(Dominadas!S5="",NA(),Dominadas!S5)</f>
        <v>#N/A</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2026-10-20T23:00:19Z</dcterms:created>
  <dc:creator>openpyxl</dc:creator>
  <dc:description/>
  <dc:language>en-US</dc:language>
  <cp:lastModifiedBy/>
  <dcterms:modified xsi:type="dcterms:W3CDTF">2026-10-20T23:51:49Z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